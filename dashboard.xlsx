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lame\OneDrive\Desktop\"/>
    </mc:Choice>
  </mc:AlternateContent>
  <xr:revisionPtr revIDLastSave="0" documentId="13_ncr:1_{3F21524F-00C2-41BC-8600-D37634949A90}" xr6:coauthVersionLast="36" xr6:coauthVersionMax="36" xr10:uidLastSave="{00000000-0000-0000-0000-000000000000}"/>
  <bookViews>
    <workbookView xWindow="0" yWindow="0" windowWidth="19008" windowHeight="8940" activeTab="6" xr2:uid="{1E1089B2-6618-4EA0-A131-36498AD1323D}"/>
  </bookViews>
  <sheets>
    <sheet name="trans type " sheetId="3" r:id="rId1"/>
    <sheet name="merchant analysis " sheetId="6" r:id="rId2"/>
    <sheet name="time analysis " sheetId="7" r:id="rId3"/>
    <sheet name="weekday vs weekend " sheetId="8" r:id="rId4"/>
    <sheet name="bank" sheetId="10" r:id="rId5"/>
    <sheet name="map" sheetId="12" r:id="rId6"/>
    <sheet name="data" sheetId="1" r:id="rId7"/>
    <sheet name="analysis " sheetId="5" r:id="rId8"/>
  </sheets>
  <definedNames>
    <definedName name="_xlchart.v5.0" hidden="1">map!$A$3</definedName>
    <definedName name="_xlchart.v5.1" hidden="1">map!$A$4:$A$15</definedName>
    <definedName name="_xlchart.v5.2" hidden="1">map!$B$3</definedName>
    <definedName name="_xlchart.v5.3" hidden="1">map!$B$4:$B$15</definedName>
    <definedName name="_xlchart.v5.4" hidden="1">map!$A$3</definedName>
    <definedName name="_xlchart.v5.5" hidden="1">map!$A$4:$A$15</definedName>
    <definedName name="_xlchart.v5.6" hidden="1">map!$B$3</definedName>
    <definedName name="_xlchart.v5.7" hidden="1">map!$B$4:$B$15</definedName>
    <definedName name="Slicer_merchant_category">#N/A</definedName>
    <definedName name="Slicer_sender_age_group">#N/A</definedName>
    <definedName name="Slicer_transaction_type">#N/A</definedName>
  </definedNames>
  <calcPr calcId="191029"/>
  <pivotCaches>
    <pivotCache cacheId="0" r:id="rId9"/>
    <pivotCache cacheId="1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<sst xmlns="http://schemas.openxmlformats.org/spreadsheetml/2006/main" count="1993" uniqueCount="231">
  <si>
    <t>transaction id</t>
  </si>
  <si>
    <t>timestamp</t>
  </si>
  <si>
    <t>transaction type</t>
  </si>
  <si>
    <t>merchant_category</t>
  </si>
  <si>
    <t>amount (INR)</t>
  </si>
  <si>
    <t>transaction_status</t>
  </si>
  <si>
    <t>sender_age_group</t>
  </si>
  <si>
    <t>receiver_age_group</t>
  </si>
  <si>
    <t>sender_state</t>
  </si>
  <si>
    <t>sender_bank</t>
  </si>
  <si>
    <t>receiver_bank</t>
  </si>
  <si>
    <t>device_type</t>
  </si>
  <si>
    <t>network_type</t>
  </si>
  <si>
    <t>fraud_flag</t>
  </si>
  <si>
    <t>hour_of_day</t>
  </si>
  <si>
    <t>day_of_week</t>
  </si>
  <si>
    <t>is_weekend</t>
  </si>
  <si>
    <t>TXN0000000001</t>
  </si>
  <si>
    <t>P2P</t>
  </si>
  <si>
    <t>Entertainment</t>
  </si>
  <si>
    <t>SUCCESS</t>
  </si>
  <si>
    <t>26-35</t>
  </si>
  <si>
    <t>18-25</t>
  </si>
  <si>
    <t>Delhi</t>
  </si>
  <si>
    <t>Axis</t>
  </si>
  <si>
    <t>SBI</t>
  </si>
  <si>
    <t>Android</t>
  </si>
  <si>
    <t>4G</t>
  </si>
  <si>
    <t>Tuesday</t>
  </si>
  <si>
    <t>TXN0000000002</t>
  </si>
  <si>
    <t>P2M</t>
  </si>
  <si>
    <t>Grocery</t>
  </si>
  <si>
    <t>Uttar Pradesh</t>
  </si>
  <si>
    <t>ICICI</t>
  </si>
  <si>
    <t>iOS</t>
  </si>
  <si>
    <t>Thursday</t>
  </si>
  <si>
    <t>TXN0000000003</t>
  </si>
  <si>
    <t>36-45</t>
  </si>
  <si>
    <t>Karnataka</t>
  </si>
  <si>
    <t>Yes Bank</t>
  </si>
  <si>
    <t>PNB</t>
  </si>
  <si>
    <t>TXN0000000004</t>
  </si>
  <si>
    <t>Fuel</t>
  </si>
  <si>
    <t>5G</t>
  </si>
  <si>
    <t>Sunday</t>
  </si>
  <si>
    <t>TXN0000000005</t>
  </si>
  <si>
    <t>Shopping</t>
  </si>
  <si>
    <t>WiFi</t>
  </si>
  <si>
    <t>TXN0000000006</t>
  </si>
  <si>
    <t>Food</t>
  </si>
  <si>
    <t>IndusInd</t>
  </si>
  <si>
    <t>3G</t>
  </si>
  <si>
    <t>Monday</t>
  </si>
  <si>
    <t>TXN0000000007</t>
  </si>
  <si>
    <t>Other</t>
  </si>
  <si>
    <t>Telangana</t>
  </si>
  <si>
    <t>HDFC</t>
  </si>
  <si>
    <t>TXN0000000008</t>
  </si>
  <si>
    <t>Utilities</t>
  </si>
  <si>
    <t>46-55</t>
  </si>
  <si>
    <t>Maharashtra</t>
  </si>
  <si>
    <t>TXN0000000009</t>
  </si>
  <si>
    <t>Kotak</t>
  </si>
  <si>
    <t>TXN0000000010</t>
  </si>
  <si>
    <t>TXN0000000011</t>
  </si>
  <si>
    <t>TXN0000000012</t>
  </si>
  <si>
    <t>Gujarat</t>
  </si>
  <si>
    <t>TXN0000000013</t>
  </si>
  <si>
    <t>Transport</t>
  </si>
  <si>
    <t>Saturday</t>
  </si>
  <si>
    <t>TXN0000000014</t>
  </si>
  <si>
    <t>Bill Payment</t>
  </si>
  <si>
    <t>56+</t>
  </si>
  <si>
    <t>Wednesday</t>
  </si>
  <si>
    <t>TXN0000000015</t>
  </si>
  <si>
    <t>TXN0000000016</t>
  </si>
  <si>
    <t>Rajasthan</t>
  </si>
  <si>
    <t>TXN0000000017</t>
  </si>
  <si>
    <t>TXN0000000018</t>
  </si>
  <si>
    <t>Healthcare</t>
  </si>
  <si>
    <t>TXN0000000019</t>
  </si>
  <si>
    <t>TXN0000000020</t>
  </si>
  <si>
    <t>Tamil Nadu</t>
  </si>
  <si>
    <t>TXN0000000021</t>
  </si>
  <si>
    <t>TXN0000000022</t>
  </si>
  <si>
    <t>Recharge</t>
  </si>
  <si>
    <t>TXN0000000023</t>
  </si>
  <si>
    <t>Friday</t>
  </si>
  <si>
    <t>TXN0000000024</t>
  </si>
  <si>
    <t>TXN0000000025</t>
  </si>
  <si>
    <t>TXN0000000026</t>
  </si>
  <si>
    <t>TXN0000000027</t>
  </si>
  <si>
    <t>TXN0000000028</t>
  </si>
  <si>
    <t>TXN0000000029</t>
  </si>
  <si>
    <t>Web</t>
  </si>
  <si>
    <t>TXN0000000030</t>
  </si>
  <si>
    <t>TXN0000000031</t>
  </si>
  <si>
    <t>TXN0000000032</t>
  </si>
  <si>
    <t>TXN0000000033</t>
  </si>
  <si>
    <t>TXN0000000034</t>
  </si>
  <si>
    <t>TXN0000000035</t>
  </si>
  <si>
    <t>TXN0000000036</t>
  </si>
  <si>
    <t>TXN0000000037</t>
  </si>
  <si>
    <t>TXN0000000038</t>
  </si>
  <si>
    <t>TXN0000000039</t>
  </si>
  <si>
    <t>West Bengal</t>
  </si>
  <si>
    <t>TXN0000000040</t>
  </si>
  <si>
    <t>TXN0000000041</t>
  </si>
  <si>
    <t>TXN0000000042</t>
  </si>
  <si>
    <t>TXN0000000043</t>
  </si>
  <si>
    <t>TXN0000000044</t>
  </si>
  <si>
    <t>TXN0000000045</t>
  </si>
  <si>
    <t>TXN0000000046</t>
  </si>
  <si>
    <t>TXN0000000047</t>
  </si>
  <si>
    <t>TXN0000000048</t>
  </si>
  <si>
    <t>TXN0000000049</t>
  </si>
  <si>
    <t>TXN0000000050</t>
  </si>
  <si>
    <t>TXN0000000051</t>
  </si>
  <si>
    <t>TXN0000000052</t>
  </si>
  <si>
    <t>TXN0000000053</t>
  </si>
  <si>
    <t>TXN0000000054</t>
  </si>
  <si>
    <t>TXN0000000055</t>
  </si>
  <si>
    <t>TXN0000000056</t>
  </si>
  <si>
    <t>TXN0000000057</t>
  </si>
  <si>
    <t>TXN0000000058</t>
  </si>
  <si>
    <t>TXN0000000059</t>
  </si>
  <si>
    <t>TXN0000000060</t>
  </si>
  <si>
    <t>TXN0000000061</t>
  </si>
  <si>
    <t>FAILED</t>
  </si>
  <si>
    <t>TXN0000000062</t>
  </si>
  <si>
    <t>TXN0000000063</t>
  </si>
  <si>
    <t>TXN0000000064</t>
  </si>
  <si>
    <t>TXN0000000065</t>
  </si>
  <si>
    <t>TXN0000000066</t>
  </si>
  <si>
    <t>TXN0000000067</t>
  </si>
  <si>
    <t>TXN0000000068</t>
  </si>
  <si>
    <t>TXN0000000069</t>
  </si>
  <si>
    <t>TXN0000000070</t>
  </si>
  <si>
    <t>TXN0000000071</t>
  </si>
  <si>
    <t>TXN0000000072</t>
  </si>
  <si>
    <t>TXN0000000073</t>
  </si>
  <si>
    <t>TXN0000000074</t>
  </si>
  <si>
    <t>TXN0000000075</t>
  </si>
  <si>
    <t>TXN0000000076</t>
  </si>
  <si>
    <t>TXN0000000077</t>
  </si>
  <si>
    <t>TXN0000000078</t>
  </si>
  <si>
    <t>TXN0000000079</t>
  </si>
  <si>
    <t>Education</t>
  </si>
  <si>
    <t>TXN0000000080</t>
  </si>
  <si>
    <t>TXN0000000081</t>
  </si>
  <si>
    <t>TXN0000000082</t>
  </si>
  <si>
    <t>Andhra Pradesh</t>
  </si>
  <si>
    <t>TXN0000000083</t>
  </si>
  <si>
    <t>TXN0000000084</t>
  </si>
  <si>
    <t>TXN0000000085</t>
  </si>
  <si>
    <t>TXN0000000086</t>
  </si>
  <si>
    <t>TXN0000000087</t>
  </si>
  <si>
    <t>TXN0000000088</t>
  </si>
  <si>
    <t>TXN0000000089</t>
  </si>
  <si>
    <t>TXN0000000090</t>
  </si>
  <si>
    <t>TXN0000000091</t>
  </si>
  <si>
    <t>TXN0000000092</t>
  </si>
  <si>
    <t>TXN0000000093</t>
  </si>
  <si>
    <t>TXN0000000094</t>
  </si>
  <si>
    <t>TXN0000000095</t>
  </si>
  <si>
    <t>TXN0000000096</t>
  </si>
  <si>
    <t>TXN0000000097</t>
  </si>
  <si>
    <t>TXN0000000098</t>
  </si>
  <si>
    <t>TXN0000000099</t>
  </si>
  <si>
    <t>TXN0000000100</t>
  </si>
  <si>
    <t>TXN0000000101</t>
  </si>
  <si>
    <t>TXN0000000102</t>
  </si>
  <si>
    <t>TXN0000000103</t>
  </si>
  <si>
    <t>TXN0000000104</t>
  </si>
  <si>
    <t>TXN0000000105</t>
  </si>
  <si>
    <t>TXN0000000106</t>
  </si>
  <si>
    <t>TXN0000000107</t>
  </si>
  <si>
    <t>TXN0000000108</t>
  </si>
  <si>
    <t>TXN0000000109</t>
  </si>
  <si>
    <t>TXN0000000110</t>
  </si>
  <si>
    <t>TXN0000000111</t>
  </si>
  <si>
    <t>TXN0000000112</t>
  </si>
  <si>
    <t>TXN0000000113</t>
  </si>
  <si>
    <t>TXN0000000114</t>
  </si>
  <si>
    <t>TXN0000000115</t>
  </si>
  <si>
    <t>TXN0000000116</t>
  </si>
  <si>
    <t>TXN0000000117</t>
  </si>
  <si>
    <t>TXN0000000118</t>
  </si>
  <si>
    <t>TXN0000000119</t>
  </si>
  <si>
    <t>TXN0000000120</t>
  </si>
  <si>
    <t>TXN0000000121</t>
  </si>
  <si>
    <t>TXN0000000122</t>
  </si>
  <si>
    <t>TXN0000000123</t>
  </si>
  <si>
    <t>TXN0000000124</t>
  </si>
  <si>
    <t>TXN0000000125</t>
  </si>
  <si>
    <t>TXN0000000126</t>
  </si>
  <si>
    <t>TXN0000000127</t>
  </si>
  <si>
    <t>TXN0000000128</t>
  </si>
  <si>
    <t>TXN0000000129</t>
  </si>
  <si>
    <t>TXN0000000130</t>
  </si>
  <si>
    <t>TXN0000000131</t>
  </si>
  <si>
    <t>TXN0000000132</t>
  </si>
  <si>
    <t>TXN0000000133</t>
  </si>
  <si>
    <t>TXN0000000134</t>
  </si>
  <si>
    <t>TXN0000000135</t>
  </si>
  <si>
    <t>TXN0000000136</t>
  </si>
  <si>
    <t>TXN0000000137</t>
  </si>
  <si>
    <t>TXN0000000138</t>
  </si>
  <si>
    <t>TXN0000000139</t>
  </si>
  <si>
    <t>TXN0000000140</t>
  </si>
  <si>
    <t>TXN0000000141</t>
  </si>
  <si>
    <t>TXN0000000142</t>
  </si>
  <si>
    <t>TXN0000000143</t>
  </si>
  <si>
    <t>TXN0000000144</t>
  </si>
  <si>
    <t>TXN0000000145</t>
  </si>
  <si>
    <t>TXN0000000146</t>
  </si>
  <si>
    <t>TXN0000000147</t>
  </si>
  <si>
    <t>TXN0000000148</t>
  </si>
  <si>
    <t>TXN0000000149</t>
  </si>
  <si>
    <t>Row Labels</t>
  </si>
  <si>
    <t>Grand Total</t>
  </si>
  <si>
    <t>Sum of amount (INR)</t>
  </si>
  <si>
    <t xml:space="preserve">                                            Digital Payment Analysis</t>
  </si>
  <si>
    <t xml:space="preserve">Total Transaction Value </t>
  </si>
  <si>
    <t>Count of transaction id</t>
  </si>
  <si>
    <t xml:space="preserve">                                            </t>
  </si>
  <si>
    <t>Weekday</t>
  </si>
  <si>
    <t xml:space="preserve">Weekend </t>
  </si>
  <si>
    <t>Country</t>
  </si>
  <si>
    <t>India</t>
  </si>
  <si>
    <t>Total Transaction Value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</si>
</sst>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Agency FB"/>
      <family val="2"/>
    </font>
  </fonts>
  <fills count="3">
    <fill>
      <patternFill patternType="none"/>
    </fill>
    <fill>
      <patternFill patternType="gray125"/>
    </fill>
    <fill>
      <patternFill patternType="solid">
        <fgColor theme="8"/>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inden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data.xlsx]trans type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col"/>
        <c:grouping val="clustered"/>
        <c:varyColors val="0"/>
        <c:ser>
          <c:idx val="0"/>
          <c:order val="0"/>
          <c:tx>
            <c:strRef>
              <c:f>'trans type '!$B$1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AF4-435A-B365-56DEFBC16CB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AF4-435A-B365-56DEFBC16CB1}"/>
              </c:ext>
            </c:extLst>
          </c:dPt>
          <c:dPt>
            <c:idx val="2"/>
            <c:invertIfNegative val="0"/>
            <c:bubble3D val="0"/>
            <c:extLst>
              <c:ext xmlns:c16="http://schemas.microsoft.com/office/drawing/2014/chart" uri="{C3380CC4-5D6E-409C-BE32-E72D297353CC}">
                <c16:uniqueId val="{00000005-1AF4-435A-B365-56DEFBC16CB1}"/>
              </c:ext>
            </c:extLst>
          </c:dPt>
          <c:dPt>
            <c:idx val="3"/>
            <c:invertIfNegative val="0"/>
            <c:bubble3D val="0"/>
            <c:extLst>
              <c:ext xmlns:c16="http://schemas.microsoft.com/office/drawing/2014/chart" uri="{C3380CC4-5D6E-409C-BE32-E72D297353CC}">
                <c16:uniqueId val="{00000007-1AF4-435A-B365-56DEFBC16CB1}"/>
              </c:ext>
            </c:extLst>
          </c:dPt>
          <c:cat>
            <c:strRef>
              <c:f>'trans type '!$A$2:$A$4</c:f>
              <c:strCache>
                <c:ptCount val="2"/>
                <c:pt idx="0">
                  <c:v>P2M</c:v>
                </c:pt>
                <c:pt idx="1">
                  <c:v>P2P</c:v>
                </c:pt>
              </c:strCache>
            </c:strRef>
          </c:cat>
          <c:val>
            <c:numRef>
              <c:f>'trans type '!$B$2:$B$4</c:f>
              <c:numCache>
                <c:formatCode>General</c:formatCode>
                <c:ptCount val="2"/>
                <c:pt idx="0">
                  <c:v>2557</c:v>
                </c:pt>
                <c:pt idx="1">
                  <c:v>4390</c:v>
                </c:pt>
              </c:numCache>
            </c:numRef>
          </c:val>
          <c:extLst>
            <c:ext xmlns:c16="http://schemas.microsoft.com/office/drawing/2014/chart" uri="{C3380CC4-5D6E-409C-BE32-E72D297353CC}">
              <c16:uniqueId val="{00000000-DC51-4D23-B939-904061F10EB4}"/>
            </c:ext>
          </c:extLst>
        </c:ser>
        <c:dLbls>
          <c:showLegendKey val="0"/>
          <c:showVal val="0"/>
          <c:showCatName val="0"/>
          <c:showSerName val="0"/>
          <c:showPercent val="0"/>
          <c:showBubbleSize val="0"/>
        </c:dLbls>
        <c:gapWidth val="100"/>
        <c:axId val="797951856"/>
        <c:axId val="804493232"/>
      </c:barChart>
      <c:catAx>
        <c:axId val="79795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93232"/>
        <c:auto val="1"/>
        <c:lblAlgn val="ctr"/>
        <c:lblOffset val="100"/>
        <c:noMultiLvlLbl val="0"/>
      </c:catAx>
      <c:valAx>
        <c:axId val="8044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1856"/>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[transaction data.xlsx]merchant analysis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transaction value</a:t>
            </a:r>
            <a:r>
              <a:rPr lang="en-US" sz="1200" b="1" baseline="0"/>
              <a:t> </a:t>
            </a:r>
            <a:r>
              <a:rPr lang="en-US" sz="1200" b="1"/>
              <a:t> by merchant</a:t>
            </a:r>
            <a:r>
              <a:rPr lang="en-US" sz="1200" b="1" baseline="0"/>
              <a:t> category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barChart>
        <c:barDir val="bar"/>
        <c:grouping val="clustered"/>
        <c:varyColors val="0"/>
        <c:ser>
          <c:idx val="0"/>
          <c:order val="0"/>
          <c:tx>
            <c:strRef>
              <c:f>'merchant analysis '!$B$3</c:f>
              <c:strCache>
                <c:ptCount val="1"/>
                <c:pt idx="0">
                  <c:v>Total</c:v>
                </c:pt>
              </c:strCache>
            </c:strRef>
          </c:tx>
          <c:spPr>
            <a:solidFill>
              <a:schemeClr val="accent2"/>
            </a:solidFill>
            <a:ln>
              <a:noFill/>
            </a:ln>
            <a:effectLst/>
          </c:spPr>
          <c:invertIfNegative val="0"/>
          <c:cat>
            <c:strRef>
              <c:f>'merchant analysis '!$A$4</c:f>
              <c:strCache>
                <c:ptCount val="1"/>
                <c:pt idx="0">
                  <c:v>Healthcare</c:v>
                </c:pt>
              </c:strCache>
            </c:strRef>
          </c:cat>
          <c:val>
            <c:numRef>
              <c:f>'merchant analysis '!$B$4</c:f>
              <c:numCache>
                <c:formatCode>General</c:formatCode>
                <c:ptCount val="1"/>
                <c:pt idx="0">
                  <c:v>6947</c:v>
                </c:pt>
              </c:numCache>
            </c:numRef>
          </c:val>
          <c:extLst>
            <c:ext xmlns:c16="http://schemas.microsoft.com/office/drawing/2014/chart" uri="{C3380CC4-5D6E-409C-BE32-E72D297353CC}">
              <c16:uniqueId val="{00000000-417A-4B69-8A92-35193FEAD28E}"/>
            </c:ext>
          </c:extLst>
        </c:ser>
        <c:dLbls>
          <c:showLegendKey val="0"/>
          <c:showVal val="0"/>
          <c:showCatName val="0"/>
          <c:showSerName val="0"/>
          <c:showPercent val="0"/>
          <c:showBubbleSize val="0"/>
        </c:dLbls>
        <c:gapWidth val="182"/>
        <c:axId val="1949503631"/>
        <c:axId val="1783096511"/>
      </c:barChart>
      <c:catAx>
        <c:axId val="194950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96511"/>
        <c:crosses val="autoZero"/>
        <c:auto val="1"/>
        <c:lblAlgn val="ctr"/>
        <c:lblOffset val="100"/>
        <c:noMultiLvlLbl val="0"/>
      </c:catAx>
      <c:valAx>
        <c:axId val="178309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0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[transaction data.xlsx]time analysis !PivotTable4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Hourly distribution of Digital Payment</a:t>
            </a:r>
            <a:r>
              <a:rPr lang="en-US" sz="1200" b="1" baseline="0"/>
              <a:t> Transactions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pivotFmt>
    </c:pivotFmts>
    <c:plotArea>
      <c:layout/>
      <c:lineChart>
        <c:grouping val="standard"/>
        <c:varyColors val="0"/>
        <c:ser>
          <c:idx val="0"/>
          <c:order val="0"/>
          <c:tx>
            <c:strRef>
              <c:f>'time analysis '!$B$3</c:f>
              <c:strCache>
                <c:ptCount val="1"/>
                <c:pt idx="0">
                  <c:v>Total</c:v>
                </c:pt>
              </c:strCache>
            </c:strRef>
          </c:tx>
          <c:spPr>
            <a:ln w="28575" cap="rnd">
              <a:solidFill>
                <a:schemeClr val="accent4"/>
              </a:solidFill>
              <a:round/>
            </a:ln>
            <a:effectLst/>
          </c:spPr>
          <c:marker>
            <c:symbol val="none"/>
          </c:marker>
          <c:cat>
            <c:strRef>
              <c:f>'time analysis '!$A$4:$A$10</c:f>
              <c:strCache>
                <c:ptCount val="7"/>
                <c:pt idx="0">
                  <c:v>1</c:v>
                </c:pt>
                <c:pt idx="1">
                  <c:v>5</c:v>
                </c:pt>
                <c:pt idx="2">
                  <c:v>8</c:v>
                </c:pt>
                <c:pt idx="3">
                  <c:v>16</c:v>
                </c:pt>
                <c:pt idx="4">
                  <c:v>18</c:v>
                </c:pt>
                <c:pt idx="5">
                  <c:v>19</c:v>
                </c:pt>
                <c:pt idx="6">
                  <c:v>22</c:v>
                </c:pt>
              </c:strCache>
            </c:strRef>
          </c:cat>
          <c:val>
            <c:numRef>
              <c:f>'time analysis '!$B$4:$B$10</c:f>
              <c:numCache>
                <c:formatCode>General</c:formatCode>
                <c:ptCount val="7"/>
                <c:pt idx="0">
                  <c:v>1</c:v>
                </c:pt>
                <c:pt idx="1">
                  <c:v>1</c:v>
                </c:pt>
                <c:pt idx="2">
                  <c:v>1</c:v>
                </c:pt>
                <c:pt idx="3">
                  <c:v>2</c:v>
                </c:pt>
                <c:pt idx="4">
                  <c:v>1</c:v>
                </c:pt>
                <c:pt idx="5">
                  <c:v>1</c:v>
                </c:pt>
                <c:pt idx="6">
                  <c:v>1</c:v>
                </c:pt>
              </c:numCache>
            </c:numRef>
          </c:val>
          <c:smooth val="0"/>
          <c:extLst>
            <c:ext xmlns:c16="http://schemas.microsoft.com/office/drawing/2014/chart" uri="{C3380CC4-5D6E-409C-BE32-E72D297353CC}">
              <c16:uniqueId val="{00000000-2D4E-4EE5-8E72-C8A18A96135E}"/>
            </c:ext>
          </c:extLst>
        </c:ser>
        <c:dLbls>
          <c:showLegendKey val="0"/>
          <c:showVal val="0"/>
          <c:showCatName val="0"/>
          <c:showSerName val="0"/>
          <c:showPercent val="0"/>
          <c:showBubbleSize val="0"/>
        </c:dLbls>
        <c:smooth val="0"/>
        <c:axId val="1888554655"/>
        <c:axId val="1785644975"/>
      </c:lineChart>
      <c:catAx>
        <c:axId val="18885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r>
                  <a:rPr lang="en-IN" baseline="0"/>
                  <a:t> of 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4975"/>
        <c:crosses val="autoZero"/>
        <c:auto val="1"/>
        <c:lblAlgn val="ctr"/>
        <c:lblOffset val="100"/>
        <c:noMultiLvlLbl val="0"/>
      </c:catAx>
      <c:valAx>
        <c:axId val="1785644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Transaction</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54655"/>
        <c:crosses val="autoZero"/>
        <c:crossBetween val="between"/>
      </c:valAx>
      <c:spPr>
        <a:noFill/>
        <a:ln w="0">
          <a:solidFill>
            <a:schemeClr val="accen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[transaction data.xlsx]weekday vs weekend !PivotTable5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Weekday</a:t>
            </a:r>
            <a:r>
              <a:rPr lang="en-IN" b="1" baseline="0"/>
              <a:t> vs Weekend Digital Payment Activity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s>
    <c:plotArea>
      <c:layout/>
      <c:barChart>
        <c:barDir val="col"/>
        <c:grouping val="clustered"/>
        <c:varyColors val="0"/>
        <c:ser>
          <c:idx val="0"/>
          <c:order val="0"/>
          <c:tx>
            <c:strRef>
              <c:f>'weekday vs weekend '!$B$3</c:f>
              <c:strCache>
                <c:ptCount val="1"/>
                <c:pt idx="0">
                  <c:v>Total</c:v>
                </c:pt>
              </c:strCache>
            </c:strRef>
          </c:tx>
          <c:spPr>
            <a:solidFill>
              <a:schemeClr val="accent4"/>
            </a:solidFill>
            <a:ln>
              <a:noFill/>
            </a:ln>
            <a:effectLst/>
          </c:spPr>
          <c:invertIfNegative val="0"/>
          <c:cat>
            <c:strRef>
              <c:f>'weekday vs weekend '!$A$4:$A$5</c:f>
              <c:strCache>
                <c:ptCount val="2"/>
                <c:pt idx="0">
                  <c:v>Weekday</c:v>
                </c:pt>
                <c:pt idx="1">
                  <c:v>Weekend </c:v>
                </c:pt>
              </c:strCache>
            </c:strRef>
          </c:cat>
          <c:val>
            <c:numRef>
              <c:f>'weekday vs weekend '!$B$4:$B$5</c:f>
              <c:numCache>
                <c:formatCode>General</c:formatCode>
                <c:ptCount val="2"/>
                <c:pt idx="0">
                  <c:v>4662</c:v>
                </c:pt>
                <c:pt idx="1">
                  <c:v>2285</c:v>
                </c:pt>
              </c:numCache>
            </c:numRef>
          </c:val>
          <c:extLst>
            <c:ext xmlns:c16="http://schemas.microsoft.com/office/drawing/2014/chart" uri="{C3380CC4-5D6E-409C-BE32-E72D297353CC}">
              <c16:uniqueId val="{00000000-E6E2-4577-A34E-62BCBDE01B84}"/>
            </c:ext>
          </c:extLst>
        </c:ser>
        <c:dLbls>
          <c:showLegendKey val="0"/>
          <c:showVal val="0"/>
          <c:showCatName val="0"/>
          <c:showSerName val="0"/>
          <c:showPercent val="0"/>
          <c:showBubbleSize val="0"/>
        </c:dLbls>
        <c:gapWidth val="219"/>
        <c:overlap val="-27"/>
        <c:axId val="1887794575"/>
        <c:axId val="1779791519"/>
      </c:barChart>
      <c:catAx>
        <c:axId val="18877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91519"/>
        <c:crosses val="autoZero"/>
        <c:auto val="1"/>
        <c:lblAlgn val="ctr"/>
        <c:lblOffset val="100"/>
        <c:noMultiLvlLbl val="0"/>
      </c:catAx>
      <c:valAx>
        <c:axId val="1779791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Transaction Value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9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data.xlsx]bank!PivotTable7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Sender</a:t>
            </a:r>
            <a:r>
              <a:rPr lang="en-US" b="1" baseline="0"/>
              <a:t> Bank Analysis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bar"/>
        <c:grouping val="clustered"/>
        <c:varyColors val="0"/>
        <c:ser>
          <c:idx val="0"/>
          <c:order val="0"/>
          <c:tx>
            <c:strRef>
              <c:f>bank!$B$3</c:f>
              <c:strCache>
                <c:ptCount val="1"/>
                <c:pt idx="0">
                  <c:v>Total</c:v>
                </c:pt>
              </c:strCache>
            </c:strRef>
          </c:tx>
          <c:spPr>
            <a:solidFill>
              <a:schemeClr val="accent6"/>
            </a:solidFill>
            <a:ln>
              <a:noFill/>
            </a:ln>
            <a:effectLst/>
          </c:spPr>
          <c:invertIfNegative val="0"/>
          <c:cat>
            <c:strRef>
              <c:f>bank!$A$4:$A$9</c:f>
              <c:strCache>
                <c:ptCount val="6"/>
                <c:pt idx="0">
                  <c:v>HDFC</c:v>
                </c:pt>
                <c:pt idx="1">
                  <c:v>ICICI</c:v>
                </c:pt>
                <c:pt idx="2">
                  <c:v>IndusInd</c:v>
                </c:pt>
                <c:pt idx="3">
                  <c:v>PNB</c:v>
                </c:pt>
                <c:pt idx="4">
                  <c:v>SBI</c:v>
                </c:pt>
                <c:pt idx="5">
                  <c:v>Yes Bank</c:v>
                </c:pt>
              </c:strCache>
            </c:strRef>
          </c:cat>
          <c:val>
            <c:numRef>
              <c:f>bank!$B$4:$B$9</c:f>
              <c:numCache>
                <c:formatCode>General</c:formatCode>
                <c:ptCount val="6"/>
                <c:pt idx="0">
                  <c:v>1</c:v>
                </c:pt>
                <c:pt idx="1">
                  <c:v>1</c:v>
                </c:pt>
                <c:pt idx="2">
                  <c:v>1</c:v>
                </c:pt>
                <c:pt idx="3">
                  <c:v>1</c:v>
                </c:pt>
                <c:pt idx="4">
                  <c:v>3</c:v>
                </c:pt>
                <c:pt idx="5">
                  <c:v>1</c:v>
                </c:pt>
              </c:numCache>
            </c:numRef>
          </c:val>
          <c:extLst>
            <c:ext xmlns:c16="http://schemas.microsoft.com/office/drawing/2014/chart" uri="{C3380CC4-5D6E-409C-BE32-E72D297353CC}">
              <c16:uniqueId val="{00000000-A23B-4148-AF05-EB0CB1FCDE78}"/>
            </c:ext>
          </c:extLst>
        </c:ser>
        <c:dLbls>
          <c:showLegendKey val="0"/>
          <c:showVal val="0"/>
          <c:showCatName val="0"/>
          <c:showSerName val="0"/>
          <c:showPercent val="0"/>
          <c:showBubbleSize val="0"/>
        </c:dLbls>
        <c:gapWidth val="182"/>
        <c:axId val="1961548127"/>
        <c:axId val="1785648303"/>
      </c:barChart>
      <c:catAx>
        <c:axId val="196154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8303"/>
        <c:crosses val="autoZero"/>
        <c:auto val="1"/>
        <c:lblAlgn val="ctr"/>
        <c:lblOffset val="100"/>
        <c:noMultiLvlLbl val="0"/>
      </c:catAx>
      <c:valAx>
        <c:axId val="178564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4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[transaction data.xlsx]merchant analysis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transaction value</a:t>
            </a:r>
            <a:r>
              <a:rPr lang="en-US" sz="1200" b="1" baseline="0"/>
              <a:t> </a:t>
            </a:r>
            <a:r>
              <a:rPr lang="en-US" sz="1200" b="1"/>
              <a:t> by merchant</a:t>
            </a:r>
            <a:r>
              <a:rPr lang="en-US" sz="1200" b="1" baseline="0"/>
              <a:t> category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'merchant analysis '!$B$3</c:f>
              <c:strCache>
                <c:ptCount val="1"/>
                <c:pt idx="0">
                  <c:v>Total</c:v>
                </c:pt>
              </c:strCache>
            </c:strRef>
          </c:tx>
          <c:spPr>
            <a:solidFill>
              <a:schemeClr val="accent2"/>
            </a:solidFill>
            <a:ln>
              <a:noFill/>
            </a:ln>
            <a:effectLst/>
          </c:spPr>
          <c:invertIfNegative val="0"/>
          <c:cat>
            <c:strRef>
              <c:f>'merchant analysis '!$A$4</c:f>
              <c:strCache>
                <c:ptCount val="1"/>
                <c:pt idx="0">
                  <c:v>Healthcare</c:v>
                </c:pt>
              </c:strCache>
            </c:strRef>
          </c:cat>
          <c:val>
            <c:numRef>
              <c:f>'merchant analysis '!$B$4</c:f>
              <c:numCache>
                <c:formatCode>General</c:formatCode>
                <c:ptCount val="1"/>
                <c:pt idx="0">
                  <c:v>6947</c:v>
                </c:pt>
              </c:numCache>
            </c:numRef>
          </c:val>
          <c:extLst>
            <c:ext xmlns:c16="http://schemas.microsoft.com/office/drawing/2014/chart" uri="{C3380CC4-5D6E-409C-BE32-E72D297353CC}">
              <c16:uniqueId val="{00000000-9C9A-4433-AF78-00EB98646F1E}"/>
            </c:ext>
          </c:extLst>
        </c:ser>
        <c:dLbls>
          <c:showLegendKey val="0"/>
          <c:showVal val="0"/>
          <c:showCatName val="0"/>
          <c:showSerName val="0"/>
          <c:showPercent val="0"/>
          <c:showBubbleSize val="0"/>
        </c:dLbls>
        <c:gapWidth val="182"/>
        <c:axId val="1949503631"/>
        <c:axId val="1783096511"/>
      </c:barChart>
      <c:catAx>
        <c:axId val="194950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96511"/>
        <c:crosses val="autoZero"/>
        <c:auto val="1"/>
        <c:lblAlgn val="ctr"/>
        <c:lblOffset val="100"/>
        <c:noMultiLvlLbl val="0"/>
      </c:catAx>
      <c:valAx>
        <c:axId val="178309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0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[transaction data.xlsx]time analysis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Hourly distribution of Digital Payment</a:t>
            </a:r>
            <a:r>
              <a:rPr lang="en-US" sz="1200" b="1" baseline="0"/>
              <a:t> Transactions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pivotFmt>
      <c:pivotFmt>
        <c:idx val="1"/>
        <c:spPr>
          <a:solidFill>
            <a:schemeClr val="accent4"/>
          </a:solidFill>
          <a:ln w="28575" cap="rnd">
            <a:solidFill>
              <a:schemeClr val="accent4"/>
            </a:solidFill>
            <a:round/>
          </a:ln>
          <a:effectLst/>
        </c:spPr>
        <c:marker>
          <c:symbol val="none"/>
        </c:marker>
      </c:pivotFmt>
      <c:pivotFmt>
        <c:idx val="2"/>
        <c:spPr>
          <a:ln w="28575" cap="rnd">
            <a:solidFill>
              <a:schemeClr val="accent4"/>
            </a:solidFill>
            <a:round/>
          </a:ln>
          <a:effectLst/>
        </c:spPr>
        <c:marker>
          <c:symbol val="none"/>
        </c:marker>
      </c:pivotFmt>
    </c:pivotFmts>
    <c:plotArea>
      <c:layout/>
      <c:lineChart>
        <c:grouping val="standard"/>
        <c:varyColors val="0"/>
        <c:ser>
          <c:idx val="0"/>
          <c:order val="0"/>
          <c:tx>
            <c:strRef>
              <c:f>'time analysis '!$B$3</c:f>
              <c:strCache>
                <c:ptCount val="1"/>
                <c:pt idx="0">
                  <c:v>Total</c:v>
                </c:pt>
              </c:strCache>
            </c:strRef>
          </c:tx>
          <c:spPr>
            <a:ln w="28575" cap="rnd">
              <a:solidFill>
                <a:schemeClr val="accent4"/>
              </a:solidFill>
              <a:round/>
            </a:ln>
            <a:effectLst/>
          </c:spPr>
          <c:marker>
            <c:symbol val="none"/>
          </c:marker>
          <c:cat>
            <c:strRef>
              <c:f>'time analysis '!$A$4:$A$10</c:f>
              <c:strCache>
                <c:ptCount val="7"/>
                <c:pt idx="0">
                  <c:v>1</c:v>
                </c:pt>
                <c:pt idx="1">
                  <c:v>5</c:v>
                </c:pt>
                <c:pt idx="2">
                  <c:v>8</c:v>
                </c:pt>
                <c:pt idx="3">
                  <c:v>16</c:v>
                </c:pt>
                <c:pt idx="4">
                  <c:v>18</c:v>
                </c:pt>
                <c:pt idx="5">
                  <c:v>19</c:v>
                </c:pt>
                <c:pt idx="6">
                  <c:v>22</c:v>
                </c:pt>
              </c:strCache>
            </c:strRef>
          </c:cat>
          <c:val>
            <c:numRef>
              <c:f>'time analysis '!$B$4:$B$10</c:f>
              <c:numCache>
                <c:formatCode>General</c:formatCode>
                <c:ptCount val="7"/>
                <c:pt idx="0">
                  <c:v>1</c:v>
                </c:pt>
                <c:pt idx="1">
                  <c:v>1</c:v>
                </c:pt>
                <c:pt idx="2">
                  <c:v>1</c:v>
                </c:pt>
                <c:pt idx="3">
                  <c:v>2</c:v>
                </c:pt>
                <c:pt idx="4">
                  <c:v>1</c:v>
                </c:pt>
                <c:pt idx="5">
                  <c:v>1</c:v>
                </c:pt>
                <c:pt idx="6">
                  <c:v>1</c:v>
                </c:pt>
              </c:numCache>
            </c:numRef>
          </c:val>
          <c:smooth val="0"/>
          <c:extLst>
            <c:ext xmlns:c16="http://schemas.microsoft.com/office/drawing/2014/chart" uri="{C3380CC4-5D6E-409C-BE32-E72D297353CC}">
              <c16:uniqueId val="{00000000-549B-409C-9424-2839F6A49026}"/>
            </c:ext>
          </c:extLst>
        </c:ser>
        <c:dLbls>
          <c:showLegendKey val="0"/>
          <c:showVal val="0"/>
          <c:showCatName val="0"/>
          <c:showSerName val="0"/>
          <c:showPercent val="0"/>
          <c:showBubbleSize val="0"/>
        </c:dLbls>
        <c:smooth val="0"/>
        <c:axId val="1888554655"/>
        <c:axId val="1785644975"/>
      </c:lineChart>
      <c:catAx>
        <c:axId val="18885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r>
                  <a:rPr lang="en-IN" baseline="0"/>
                  <a:t> of 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4975"/>
        <c:crosses val="autoZero"/>
        <c:auto val="1"/>
        <c:lblAlgn val="ctr"/>
        <c:lblOffset val="100"/>
        <c:noMultiLvlLbl val="0"/>
      </c:catAx>
      <c:valAx>
        <c:axId val="1785644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Transaction</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54655"/>
        <c:crosses val="autoZero"/>
        <c:crossBetween val="between"/>
      </c:valAx>
      <c:spPr>
        <a:noFill/>
        <a:ln w="0">
          <a:solidFill>
            <a:schemeClr val="accen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[transaction data.xlsx]weekday vs weekend !PivotTable5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Weekday</a:t>
            </a:r>
            <a:r>
              <a:rPr lang="en-IN" b="1" baseline="0"/>
              <a:t> vs Weekend Digital Payment Activity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s>
    <c:plotArea>
      <c:layout/>
      <c:barChart>
        <c:barDir val="col"/>
        <c:grouping val="clustered"/>
        <c:varyColors val="0"/>
        <c:ser>
          <c:idx val="0"/>
          <c:order val="0"/>
          <c:tx>
            <c:strRef>
              <c:f>'weekday vs weekend '!$B$3</c:f>
              <c:strCache>
                <c:ptCount val="1"/>
                <c:pt idx="0">
                  <c:v>Total</c:v>
                </c:pt>
              </c:strCache>
            </c:strRef>
          </c:tx>
          <c:spPr>
            <a:solidFill>
              <a:schemeClr val="accent4"/>
            </a:solidFill>
            <a:ln>
              <a:noFill/>
            </a:ln>
            <a:effectLst/>
          </c:spPr>
          <c:invertIfNegative val="0"/>
          <c:cat>
            <c:strRef>
              <c:f>'weekday vs weekend '!$A$4:$A$5</c:f>
              <c:strCache>
                <c:ptCount val="2"/>
                <c:pt idx="0">
                  <c:v>Weekday</c:v>
                </c:pt>
                <c:pt idx="1">
                  <c:v>Weekend </c:v>
                </c:pt>
              </c:strCache>
            </c:strRef>
          </c:cat>
          <c:val>
            <c:numRef>
              <c:f>'weekday vs weekend '!$B$4:$B$5</c:f>
              <c:numCache>
                <c:formatCode>General</c:formatCode>
                <c:ptCount val="2"/>
                <c:pt idx="0">
                  <c:v>4662</c:v>
                </c:pt>
                <c:pt idx="1">
                  <c:v>2285</c:v>
                </c:pt>
              </c:numCache>
            </c:numRef>
          </c:val>
          <c:extLst>
            <c:ext xmlns:c16="http://schemas.microsoft.com/office/drawing/2014/chart" uri="{C3380CC4-5D6E-409C-BE32-E72D297353CC}">
              <c16:uniqueId val="{00000000-FC0E-4182-B16E-4D4226553BA3}"/>
            </c:ext>
          </c:extLst>
        </c:ser>
        <c:dLbls>
          <c:showLegendKey val="0"/>
          <c:showVal val="0"/>
          <c:showCatName val="0"/>
          <c:showSerName val="0"/>
          <c:showPercent val="0"/>
          <c:showBubbleSize val="0"/>
        </c:dLbls>
        <c:gapWidth val="219"/>
        <c:overlap val="-27"/>
        <c:axId val="1887794575"/>
        <c:axId val="1779791519"/>
      </c:barChart>
      <c:catAx>
        <c:axId val="18877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91519"/>
        <c:crosses val="autoZero"/>
        <c:auto val="1"/>
        <c:lblAlgn val="ctr"/>
        <c:lblOffset val="100"/>
        <c:noMultiLvlLbl val="0"/>
      </c:catAx>
      <c:valAx>
        <c:axId val="1779791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Transaction Value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9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data.xlsx]bank!PivotTable7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Sender</a:t>
            </a:r>
            <a:r>
              <a:rPr lang="en-US" b="1" baseline="0"/>
              <a:t> Bank Analysis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s>
    <c:plotArea>
      <c:layout/>
      <c:barChart>
        <c:barDir val="bar"/>
        <c:grouping val="clustered"/>
        <c:varyColors val="0"/>
        <c:ser>
          <c:idx val="0"/>
          <c:order val="0"/>
          <c:tx>
            <c:strRef>
              <c:f>bank!$B$3</c:f>
              <c:strCache>
                <c:ptCount val="1"/>
                <c:pt idx="0">
                  <c:v>Total</c:v>
                </c:pt>
              </c:strCache>
            </c:strRef>
          </c:tx>
          <c:spPr>
            <a:solidFill>
              <a:schemeClr val="accent6"/>
            </a:solidFill>
            <a:ln>
              <a:noFill/>
            </a:ln>
            <a:effectLst/>
          </c:spPr>
          <c:invertIfNegative val="0"/>
          <c:cat>
            <c:strRef>
              <c:f>bank!$A$4:$A$9</c:f>
              <c:strCache>
                <c:ptCount val="6"/>
                <c:pt idx="0">
                  <c:v>HDFC</c:v>
                </c:pt>
                <c:pt idx="1">
                  <c:v>ICICI</c:v>
                </c:pt>
                <c:pt idx="2">
                  <c:v>IndusInd</c:v>
                </c:pt>
                <c:pt idx="3">
                  <c:v>PNB</c:v>
                </c:pt>
                <c:pt idx="4">
                  <c:v>SBI</c:v>
                </c:pt>
                <c:pt idx="5">
                  <c:v>Yes Bank</c:v>
                </c:pt>
              </c:strCache>
            </c:strRef>
          </c:cat>
          <c:val>
            <c:numRef>
              <c:f>bank!$B$4:$B$9</c:f>
              <c:numCache>
                <c:formatCode>General</c:formatCode>
                <c:ptCount val="6"/>
                <c:pt idx="0">
                  <c:v>1</c:v>
                </c:pt>
                <c:pt idx="1">
                  <c:v>1</c:v>
                </c:pt>
                <c:pt idx="2">
                  <c:v>1</c:v>
                </c:pt>
                <c:pt idx="3">
                  <c:v>1</c:v>
                </c:pt>
                <c:pt idx="4">
                  <c:v>3</c:v>
                </c:pt>
                <c:pt idx="5">
                  <c:v>1</c:v>
                </c:pt>
              </c:numCache>
            </c:numRef>
          </c:val>
          <c:extLst>
            <c:ext xmlns:c16="http://schemas.microsoft.com/office/drawing/2014/chart" uri="{C3380CC4-5D6E-409C-BE32-E72D297353CC}">
              <c16:uniqueId val="{00000000-3241-427A-972D-E351B77A3F34}"/>
            </c:ext>
          </c:extLst>
        </c:ser>
        <c:dLbls>
          <c:showLegendKey val="0"/>
          <c:showVal val="0"/>
          <c:showCatName val="0"/>
          <c:showSerName val="0"/>
          <c:showPercent val="0"/>
          <c:showBubbleSize val="0"/>
        </c:dLbls>
        <c:gapWidth val="182"/>
        <c:axId val="1961548127"/>
        <c:axId val="1785648303"/>
      </c:barChart>
      <c:catAx>
        <c:axId val="196154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8303"/>
        <c:crosses val="autoZero"/>
        <c:auto val="1"/>
        <c:lblAlgn val="ctr"/>
        <c:lblOffset val="100"/>
        <c:noMultiLvlLbl val="0"/>
      </c:catAx>
      <c:valAx>
        <c:axId val="178564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4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data.xlsx]trans type !PivotTable2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barChart>
        <c:barDir val="col"/>
        <c:grouping val="clustered"/>
        <c:varyColors val="0"/>
        <c:ser>
          <c:idx val="0"/>
          <c:order val="0"/>
          <c:tx>
            <c:strRef>
              <c:f>'trans type '!$B$1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A08-4883-B4DE-3356DBDB369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A08-4883-B4DE-3356DBDB3696}"/>
              </c:ext>
            </c:extLst>
          </c:dPt>
          <c:dPt>
            <c:idx val="2"/>
            <c:invertIfNegative val="0"/>
            <c:bubble3D val="0"/>
            <c:extLst>
              <c:ext xmlns:c16="http://schemas.microsoft.com/office/drawing/2014/chart" uri="{C3380CC4-5D6E-409C-BE32-E72D297353CC}">
                <c16:uniqueId val="{00000005-1A08-4883-B4DE-3356DBDB3696}"/>
              </c:ext>
            </c:extLst>
          </c:dPt>
          <c:dPt>
            <c:idx val="3"/>
            <c:invertIfNegative val="0"/>
            <c:bubble3D val="0"/>
            <c:extLst>
              <c:ext xmlns:c16="http://schemas.microsoft.com/office/drawing/2014/chart" uri="{C3380CC4-5D6E-409C-BE32-E72D297353CC}">
                <c16:uniqueId val="{00000007-1A08-4883-B4DE-3356DBDB3696}"/>
              </c:ext>
            </c:extLst>
          </c:dPt>
          <c:cat>
            <c:strRef>
              <c:f>'trans type '!$A$2:$A$4</c:f>
              <c:strCache>
                <c:ptCount val="2"/>
                <c:pt idx="0">
                  <c:v>P2M</c:v>
                </c:pt>
                <c:pt idx="1">
                  <c:v>P2P</c:v>
                </c:pt>
              </c:strCache>
            </c:strRef>
          </c:cat>
          <c:val>
            <c:numRef>
              <c:f>'trans type '!$B$2:$B$4</c:f>
              <c:numCache>
                <c:formatCode>General</c:formatCode>
                <c:ptCount val="2"/>
                <c:pt idx="0">
                  <c:v>2557</c:v>
                </c:pt>
                <c:pt idx="1">
                  <c:v>4390</c:v>
                </c:pt>
              </c:numCache>
            </c:numRef>
          </c:val>
          <c:extLst>
            <c:ext xmlns:c16="http://schemas.microsoft.com/office/drawing/2014/chart" uri="{C3380CC4-5D6E-409C-BE32-E72D297353CC}">
              <c16:uniqueId val="{00000008-1A08-4883-B4DE-3356DBDB3696}"/>
            </c:ext>
          </c:extLst>
        </c:ser>
        <c:dLbls>
          <c:showLegendKey val="0"/>
          <c:showVal val="0"/>
          <c:showCatName val="0"/>
          <c:showSerName val="0"/>
          <c:showPercent val="0"/>
          <c:showBubbleSize val="0"/>
        </c:dLbls>
        <c:gapWidth val="100"/>
        <c:axId val="797951856"/>
        <c:axId val="804493232"/>
      </c:barChart>
      <c:catAx>
        <c:axId val="79795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93232"/>
        <c:crosses val="autoZero"/>
        <c:auto val="1"/>
        <c:lblAlgn val="ctr"/>
        <c:lblOffset val="100"/>
        <c:noMultiLvlLbl val="0"/>
      </c:catAx>
      <c:valAx>
        <c:axId val="8044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Digital Payment Transaction Value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State wise Digital Payment Transaction Value</a:t>
          </a:r>
        </a:p>
      </cx:txPr>
    </cx:title>
    <cx:plotArea>
      <cx:plotAreaRegion>
        <cx:series layoutId="regionMap" uniqueId="{5F1D90B4-BECF-4343-83FF-F62DC994C2D1}">
          <cx:tx>
            <cx:txData>
              <cx:f>_xlchart.v5.2</cx:f>
              <cx:v>Total Transaction Value  (INR)</cx:v>
            </cx:txData>
          </cx:tx>
          <cx:dataId val="0"/>
          <cx:layoutPr>
            <cx:geography viewedRegionType="countryRegion" cultureLanguage="en-US" cultureRegion="IN" attribution="Powered by Bing">
              <cx:geoCache provider="{E9337A44-BEBE-4D9F-B70C-5C5E7DAFC167}">
                <cx:binary>7Htbc9020u1fceX5UMEd4NTMVA3IvbfuluRr/MJSJBm8gReABAn++tOS7cT2KJnMd/I9pOrscpUl
gQABNLp7rdXYf79b/3bXPty6F6ttO/+3u/UfP5TTNPztxx/9Xflgb/2Rre5c7/uP09Fdb3/sP36s
7h5+vHe3S9WZHwnC7Me78tZND+sP//w7jGYe+vP+7naq+u56fnDx5sHP7eR/p+3Zphe397bq8spP
rrqb8D9+OOnuq9sfXjx0UzXF13F4+McP3zzyw4sf//n3H39zAs++5NPcnm36t/ef3brudrpt/uMc
vp3Cvy38RQt7M833MH/MjiRGjDBG0NMH//Ci7TvzuVmKIyxkijml6dOHfln+5a2F7n9oRk+Lu72/
dw/ew5qe/v+m6zebCC3/+uHFXT9306PlDBjxl52vfJ99asj6x9mfXD635f9mA9iA/0Wr/Ku7L93t
iyt3e//gyy/781vH478wDT+SnHOsUvRp79NvTZMepYIzzFP2rGn++LSet8/3/b8z0r+u/lJGyh/a
svrzbEPUkWDgE0iIZ91GHmHMmVQcf7KN+PLqT27zH2fzvEk+d/vOEvn5X8oSrx/a287cdn9mEJNH
CiHBU6y+dxGEUsVS/tlFoPlT8P5khj80ledN8VXX78zx+vCXMsdhrm/d7fRlY/7fwxYhRyIlEkkE
h/7rVIKPeCpSgVOw1ePnu1TyBybyvCl+6fidIQ6nfylDXNwChLn15eT+TM9IjxgnSFGeftr0f0/v
SKWUfPaPlH85B58c5A/O6Xm7fNP5O9tcHP+lbHNzW9/6qbztvmzPn+Am4ogrRglV8tnsTo8UR5go
LD8Z7jvL/KEZPW+Xr7p+Z5Wbv5bHvL61Vfvi8vZ+/vPMgvERwgIjpL5LJeqIQUgjiMsvL/ucQ/7Q
JJ63xNcL+M4UrwHZ/oUw8JtpAv72p0NgIo5SQrnAYJCnz7fhS6EjLgTlRD3PTv7wrJ43z3fdv7PQ
m78WAH734KcX+gGQV/vlAP8JQewxSgEFQRK84qtcr+RRKolI2We7fJ9X/uBknjfLN52/M8o7/Zdy
m4O77e5fvO6n/2yUP5HAPh9XvlY1vnniiWL/cdoK+A88kgMzYs/5rEyPqKCCScafpUbPaCzfzub5
Q/G52zeP/i/LBr9tkV8ElxzUmt2TWvScDvVs69PyQMD6rvH3RKdPlju5BzUHEAORFJwRhKhPJnsc
5xvSc3HbVcPsvgSBb7s9AMz5xw8piEKMAkJXAB4xU4z98GKB+AEt5ChNQRDioDyQVCgJsKTr3VT+
4wfCAfcjSVLMMMRsOAM/vPD9/NQEYYIKxGFECOYppeIXne6qb6Ppu1927PPvL7rZXvVVN3kYWIHw
MXx67nG2UgHVg9dIwlMOGAlgFLTf3d6AGAiP4//DR98NCWrS49pV9jiWqMlMlZ6yaaN6mAwxGTfr
60bV3YGFlmem3NY31k/Jqw5X75xJx4tkVNuNKex6JskSbnxg17izo242XGq8sOqYrD3ac+vNqEtX
vGVE2YupSU68K9KMzWo+axt/k3QNLnS9lj/zpNk0D3WXkdBe1apWSre1bWrtRZw0G2e2T2SVbvnA
RXidxqiytZgKvS1xuHA1W8ucjxFltux7vaGiPlRDI4+TLmX8OPXp+qqdbfm+GoaHZks6mZuJji5b
q/pDReqfl5Sg44qxy7oTvW7KtjlblJ1yT5nPOxY/oqSzOZu78XLli9A+KexNbdrxIm34cZzTVi8W
N5mr+JptbsFZGCsEA1Xvw1oLXU/D2Oqkm2BBfhn1wukJwq5+W4N+aDWazd4RizMPR6TRy2SHG7TU
9wv3LE+KoshoGVufYbT4THn0weLVwlBFFw6R9CZTKTOvwrJmE12SV2GW7XVoRXJoF150+cAKdM0X
qQbNzFK22dbhgDLsHsckCyqcblxDddOWqDuupileF2RN9tPI7KR550I+J60gx+1QmuTEbW17Nqzt
VO+LjTRVxlbfFGdbXUxhX6okPQu9n99NxBXuxI/Cl4c0VuF0nPhIdJluo8gDj2LUXKJQZLUfWqaZ
ZehOjHR923VrF7RKvaSayXGMWbB2SncxienVJJtGaDsy4zKcSh70smwp0grX1fvJC3exTRMbdriv
TZUZXLCXpekszqclwdpNLdLV4CYt0y685Ix6fB2bSfVZWvuk04jJVu4WhotVpw4vy03tZFEey7jO
4ymcMGqyVhmz5V6O5DJJlu5jP1T2TLrZmN0UBzccghg92DxW8nTyzZjqBTu+ZGJJr30wJ6pBQhO+
FNrwZjehyeZBUaSplGbH6KVC7H3r5dVatyhvK0QyX7njcmKl5g5dtMNmdE/7m0DDz8XAXs2d2EXM
4mWV0mNumwu7zON5bYqcNv2JKC+EDYPuZNrkg9myyfVgMrLwfLLRnhjU0Ksq0uQBjnPeq06nAV2R
qUryblXXCI3Dvl9WbSFE7VNLhhyW+pFu13YKuVfQB+PhvU1Ife0ROhlEWeWLc02rS8ky4muR901y
z6q2eZUOSaFF4q+UiLmP0etxcQYOgzLHLd9aPdPytaWhPDSNrPXSUnM8StNoIWzUaUxqjW3vs7ht
aNdMfXLL2FjrUR7Wri93G+0XHQZpjjuFOj32NJesHsesTmmfF7jrL1BViw9pNK9Ia6u8UmQ+LEU7
gMvU+4a1KsdUTtk8F/JuY5vfORx3WK3+nJB61bRQJ2XXFieBy1cQ+i5MzY2mYySnTaX2k+W7WLft
nkUiDmPqDnZQ84EJdN9K4/Uq4oNpipe0XPosbEzsmVevky3gh2VSzc/zZj5+lZ2eC/cCmNdX4V4x
BaIREwITRKWSUj62fxXuu2ENSahwepyYAenS1kSnW9vh3KwDf1n2Arwk2WY+7PjY+AvUr9V7U/cF
0msIImgrlhLi5CTA60RfpFc1GeZ0Z9bGRTiXlaLa4aYPugpNfNu7Dt+FWIA/Y7csRSaHVo66tZsT
eexnR/Q6uHDa4HIuD6URiTtxmEOw6IbiLMQ6hD1/iibJU2QZn6KMfww4q13L5GSeoiTH4JchL53r
Jj0jluxV2dQ3U51EqdsRyRM3jhCmFmHuSDH0mkxmP5RiPm8Lv19SRPdzVYE163COWLmccdSdkbop
z2hR17ua2DVrSFrm1po0I10qdJjpzWbxpGsIZ+eiK/hhHEmXp2HiGe4rn9u1ONCuI6d0ltMDVn33
xgXT70ZatnBW/Wi7g2/wvB7q0KdzJrYqHnyxgbcIVDs43UxBFGIDrptXVfR4OYtjbbO2Xrgu+Up2
aypchsbE5mlqurflmG5XohBMe2Qvq97VZ9FgdjWzblu1Kkz3EwQFn7Wj3Pa8X/pc9purwKBj/TIM
s7o3E593VVdfu7YnpwJBOa83tsYXiOHm0qaVNHpyE6qzdrJbdW4VEWflmsiXnbLJQYaS3akiJAec
tNNVkZBC99KYu2KswFvXapw/RA7RK6hAXhZ8RtdVEG3eY/wzawt8jFZvd77no9HEuqu2ZJWuODm0
to8HPOJTyHZOyzkJZ8qMKherG3dL6V3mSV45rPQ4xfNh4u9Ls6072Ll3rYH0z5qqgJWkcZeoMmgy
4Nc2nfqsmddjx/oa8txwSFd6bxBe9mJM7kZad6XuGD4M5XRKZZ2XuD5vCT7ztnhXGJqrsTzpw/Jz
hYU2fXqJQmh1nGe+X7f53pYrvmxG+tAzk14088BykKbcXq2JOu7xdMuV96elwiHzoinvY5oup0Eo
f217Ek+855uuh0ppaxt1CMHfAVjkWcfpfWBtuk+sE9nYGJVbXFVnrE5+2kprDjYifNmN6UXttpjR
Zia7rktiTiXu93QaimycfacDd1smhnnOu9BmKRi7YUu9m9SQA0rY94OfLrYBuzxuMR4kG3xmV/LK
mWK9aDGuTogl3XmCowDwgcWlWSW+bnjnr3hndjQN1UkyqTYzC5paXXSyOhUpJ4smScsefNGGHZnx
8LEJRmlI3/2ezVufW8+JppZAa8VNXtOmPozLWkOGnUn8aeUyeC3WSN7JOE+DDs6i9xWvprfjxFCv
u6quP5ZFRYy2hSmzejaT0Jysfjgkbi7Nrh+dPSsec7R7zNbNU+IenpK4eEroVLamOlZPiT48Jf3t
CQAMpgAwsD4BA/YEEsQjXigfkcPXVdXPIfoTQr/rh+gqU34upv/y6z9f9xb+PZVZf/3jIwX59beL
L0X8333q8NA/Cmv++4ce2dYvY/1a0H2kN79Ud7/jTN+W1v+bxj/ItgTBv0u1/q06/kS2PvX6xLSk
OuKcCIWgMgJSMMi9X5iWZEcIgD3iFLQvrqDK+wvTwqBFQmERIaZgAlJSaPrMtEC+5JJA0RFaGPwA
ufQLEfzGjkAwn0m93/EsJrhSwLKArqcwEn3iYV8lXuF5MsgpnXbcA0Po4ktRNB+x6vZhagDTT9eh
bz6ObHKfDtQnQvrMe5V8ZHBfMTzI9goTDLVvoHoc1gJc8uuUb0pON7G1804UqXsomER6Zow5YB0B
mxOCNlbrSjJBtayS7Qb8ZW1P2lBulxX2w0cQHyJkwDivQneNUu97FfuzmjDS67GKzObG8LTWyEd1
xdpx9ZCFQ7mnvCBZ6Wh/2ESQpwl44974dNh0F4tBA5cFUCHcy8W0IheU3tXIdPncqD3gM5xNCQRr
OXY30VqrJ4N2IiHobCpXpNnq6hu6YgAk6xroJe4TfNUaSFPSJ07qea2XS6rq1yZV8L4irv6wUmGv
I+93zVCf17T2F80AW7GmG96yYkVx1VVTQeclVk1m+zHcUZGwN5P0q8/8jM3LSqbunHcWcnwVC01E
NVs9kCgzMvFa07Y2b6sFpzeCh3UHyXzITdsf8ELm69iPLC/6qXw/IQOsoXEAVOLW0D6jIVEvl8RP
H4uVpKvu+tSZzNRTej8Niye7uIhEG5eiNyvaPPwIjF7kxUDLG9+PRQupKjZd1hJTO22buBwUUuUZ
oWg5W3jSnRPWuowmXFyulWUvUbVV5Y40kV+NSSMzwTw6r/w6Z/OwdlerWcycbRC5Or2NcjoV0nap
HoaiO/RsXs9DraZ9mRRdVrs63dfVtJ11axjejJ2SczYOPjG5pLx/C7TR52RKVKJlswzJYVYh7a8M
oZB3S9aAStBCMC/y0I02Y35IJx36mR3DVYFqyPoSbW9tS1DjdCHNNGUk4mnVQ6viS3gOqDNZOvzA
E8nRzsyh2wU+pVelWDzOUEgMz2Yn6ozjZDqZQZkQWnV9HQ4moL4BqETogZVyHQAgDPwtj0Fuu62O
oshF6ApdrBNID8L5ugYwM8STwnrpIeXz4WKey+nD2BE4SM2I3hvUlw/FJIc72Jnqxjdd+lJCVmz0
GNvY7So2l+9ZZ6tSV3Nl9qTuKNMC4XAlyAxv2UiJj2nRpFMWW8k+LAPzp2KrxZoVIL0UAKnrsstL
ChyEVCvZ176Nr0i/0ZsOq2bMF0ymLa/tiKze0rDejVYKo2uzDNehwOkHr/rynatg93ZMuf4ibdsG
5yo14m2YcARsNeN1N9NqvbX95N8sJm2JJp0Tt2NVj50eZNIAv3OCZ6KtHcpGwGUPia/wq3Ia7NvA
6+JarFS+7+aWBF3StkhyslD02hR1OmuGQzPs5o7bV70Y2c7HWSzajGawuqhF40FimS3dV6UCbUS4
NsGA8yTRphRi25WIqAMuw+wywHhYh0mh4yi3EA5lU7obt4QRiLpB7dnWNCvWfSwgijTSmkXbdkle
xiF6m+FGNW/rmKSVRqivUSY62d8h5DqUC07t8TYmg9c4qWWESEjkydxVsB4x2x48HgSpq8S2JdBi
yefMpVw2jyLKcl31ir4Fk3LdD8ICRVKD2BVMuFcGuGzOBrbsQO6z1y2u6t02eCH0INbxPfUQ0yGY
ofjTgpj4AMEcLKqGLim1l7jjGQOQnWZjMHWjgawBAEqUXTcNTj7RbFphpskwnc5GxE7DDNMkw6GD
sBCKgvd5A7zycpnE8rZFrt6yjbW110VIyXCMSEp+qiYfQN6bOXA/hJOO5UtE9UWdkvkq4Wp4o+LK
beaLINWuWDr2frHbcD+azbW5LWcI6RVKkzEDoQdkhaEtN66NctGcYCADUktKgUZ0FpVXPQLdacdA
3jztgzDlwbd0Sk9jMnsDMBqDd7neViIHOp/cLoVbiyyawvldR7pi7zs/VHrxku0ZHes2X0AD6XVB
u4RlcHBAoBr7ZjWa9Yltsn5BaT4WfeRaRJDQMoU5L/Xq1Hzu/GChi9pO0zoM2UBUcQEnyX2QIcEX
SePk27l29jTY0ICkhSAQIy/aY1FGyKBNN8d3FurOc2ZUtVyyqVHdzjYQqbeuEU7HphxHTeF6033f
CfFqbQjVFUPC6mVAzQAuJ93HOIfy2gk6lBnwr2kXULpcKrvgPSw0ZNT09l3XG3dqGgViTS0h7RjR
Pgoh3XYGYBxliZz9mQTX21GY+e021ZfzUhZ6lohHvWFBfjYFby9ZMftlNy9FX2YNrWSVkYFLdFyY
iBbdzKq4RSYCR5/F1MTzXsQWayVC+Q7RFYGhVVvVmVpXNWcDhrWtRRnf042K1xB+h6vVgdRh0Bp/
6iE/nwti1ipTLWl/svOaUo39JoEyIbGZLNSyQhlQAZDEfGw2cMMEuQ/LzKcrJpNwWawFuULS8wca
lyRTRbW94eBId6lICpZNSFT7tW8PhFVxyFQ/FZV27eTutyqYIQNtG1hTmiYgyoDRyHUFwvGrvsfz
yYxI056PIcif+FyWH7emsGWGyzGAYt02CjauLh/p8bSuhJ1sKwtj1ptCvY94ELeQXaprqLSWK4St
AdRXTWaQQfN+GpIJ6dE38iUqIOVnDHSd9aSVHa+zhDqWezfzfKWtByeIjV59Ut+OJC0u+9C/C9aV
eeeKNS9r3GeV9bHcAzAYt2yeEhnOYsnEK7GBYpSNkbciswWrQcxYkyG3sBPYFtHt5iGhtbZE3Y1k
omddKRTXQNJAIy361B+PSSLOZ4Z/GkUxvmlWyn5WoHC0xxLBMdulxFejxgRAgmYgX3xUIqlHPc4y
zDtWcXWDqDDFfg40Rq0aU/i8XOcavJPOwL6WhTo4NMHOeIcUCClazWvSn82BsXfLNMKJsrjrAAi1
DJI+grTnWgTEVG0K0iUkePzRNUXRQ5xuzfvKdWHLkpmtL0VVAddH0YZdWUVjtSwlpufNauNpNVbJ
z0XlZgWqAasa0LAVygbeTB/oGHzU7VwlH0wiepFRH+vbdaEQBVJiQSXEW4JfdWpg7NiEAbAJw9vy
ZmmAwWYx8dSfxAKuMGo4AqBiNXUdzUWkiN6grt3Uvl3E0upqa6GGMNNuPJkEkfe2ICCVsQLk+KbN
3TikGZ2w2PPAynfLSpTmyQaIzRUl1o31vQ4ouowUqwpZ2hVbrSec3EVshp8Q0P+Jd9nCEqLrdFPa
TMruWZVE0P0rqudtgJcNhryca2UgPHAQrGhAOuExt9XaHZuUr7WOtWLX9ZAku8V2ak+8a3cyLRik
3FBcxYLzHoKS2vbK2bt0I/gdnET6cal8vXOhouBhvUyv5OzceV2uSwIjtvJmw7Hqd2hKy1dJxPaC
zAvsHzjF25UtEK5aSrfuoHwd3xVM+dce6mAorza+xnwWxmON4zB/TAEN3rEydEL3ypc262mBQH4A
dvORKh9ctiVl+ZoNsYcU6wm7WDyNuiJJWWeGwCnUTbV0ZY7nuHysErnmwzbaVwtImpMeumKY88RG
WYEsYUoAldO0kuOZ0VXlsVnjKYODCKC3tVBIiJBpUVOWveYs0hLSWDe2lxbQvM2brQ7ohLvW7QwW
1auhGZObPm5mt0lq9GblpkCdc1A8IGrJ+rSmiebjvCDddiI5bdoCFKM1VnaBQyzS130RoOJGiwhI
EBIl6OjGhZaBPDZCjcJsokygUgGabJ6wCFsrWf8GT9buhwo1Yjc3Azpbt7UMu8l3qc8M9+27OEPZ
5NQmc/nQSONKkMYLQEVdYgEiYoHMpM1C+rdopu3rxSN1T6zpj5cY1+FkrsBHO2DGvTbU1bc16w1U
8RLQiZfYRKxp0rWpJiCbnaUmADxMuzQ62GWlaB6WgkFwgPrmCmm4H6+dWuqQTaChcu2qDQD2nADN
8cxBeUFWIz5rlYOKUXQMvZado3pJ2odua1epm1WVBoRlWYD2apPaHHNh8KlwC7/spwAQspyWVJ1W
VqHTwkFBFMIyb06mmrsrT83QgArIFrAjB5oX1gHqgYShk0UZPmRJX98L6ZGDkkuFz4Al82tRd2dY
bUgvY39iCdku17J5U27C5hOQr11Pl0PnWXuo+mTKCTZEL0S89OAAL6ukULsopiGTLUPAGwB+uD74
Ukc5Nbs5bkAstgpUxbmdQVdf0L6hrjp0I+6uFzbZKxtdn08YUCO1OroCXhNZe95DyXWXROAiUH8C
cAGlxJc05X7f9e3xDIktqwFfGt8sV51w6C3qLPEQYOs0t86/64owZ1NFxA1ojWqXDnXc8259Kctk
XXLCZ3HcszU9KWTBCsAnxASIUCnKU5BwzzBuFt27Sm075NruslR9eroFt7AM6gBFtkHwflBeHkaF
/Mchls2VCWHSU+jSn/okqFNZEvqejMLcK0igmYQNmkFrhkfYjEY9VEXJdzBik1xtAqpf2UqHFRBv
6YfXFoTnYzIWULNc0ohfU1smZ23RzTqkyXAsRRneDHJsPhQz2paMoJh8hLpn5z/QBmgQAIAqkH1X
KLQdXN0sCiIpWfOpYgadVPPQ3id4cucRl4AsQwm1PihEYwRoYIjNsm8DoMmmVuk1lOxVvcdqnPcz
XwJwHDTQNJsr3BdAMwEp5M1jzhzUUHFNBwWBSi10aXLASP50eAo7E0ztp0mwLeTrXBUoX9cEDkVA
ZONQsgOasO9r2q0Z6T1rskHOdNa0w+LDJBf8MPCKFDlcKmhirrxKT9KQrumxHRdvMtqVAKIX2ooH
ZWibV6DknPnFL5exXjeZIVQCMJ1xLe6cZRPo42asrkEW6I+nmdIbNqFgd0YhCImFEktuis3EbBh8
73VlZeSHqiqAnNdtF4gWgaDz2Q3DcTsFQE+TKl3c98k63U1xU9Ph/+ujX30F6u7rr+p8c60EwxXv
376I8s1Nnydl9PH5zzdQ5BHDGOQWTkELlKCOftFFhTrCKaifCsGVZgUlQVBMP99AofIILqLB1wAE
erxk8iSZftZFxZEUCG6jgZwpGRZpSv4bXfRbdTJ5lFYZfDXn8Vbb16qkB2zfN1Uqjkucp/ylD3Cf
9pf1P6N7/ta4j3//SmdNCRSVPOSM3cTLttQblDDelUSsn7799Juy6m8ND7v89fA1CCBxWTu5K93o
3M0iNmRem3Xr/0OlFu73fyXa/rot34m1qd0aNTeFABDO/XY9YAuXGUpacwx3EZAlGgjvVOz/Z3sF
5v96MR5sXy8GrgusnkLhVsFtBgeSiVAffn98EPKfXQz6dnyZjmio0wjoBA/sAsNVIEBiCEj0eVRT
tx4SuUEosnEcbn7/hb9hne9F9kGhIcjHF4Y2letpD6rEDKriXFa733/Bt2r+L+Z5vNj89Y6pagNG
MFO+Wxovl1MRKWjcQ+NJec6bsiYXeG7mJhv92EHxGfgNHveoK4M7/v33/8bxeCrvf3W6bRoWDnUt
ebCtH4sbae04v6Uj3Hg5Bb08lddwQYyKk99/GX60068VhF9X+2jXr942SOsb7iPfwV0W4L9QcjlI
ij8ODR0XkDXNEqyeo0zO+wW0991M+sf7IolRxML3rP4H3qwe9+GrGbQGqF7LF9hvRXhGXf9R8qX6
D5v5W6fluxDUQ1hYVJzgkkb08v3/5ezbluO2gW2/iFUkbiRfZ4ZDSZblmxzHeWHFTkKCAEnwAl7w
9XtNaj9Y2HZ0Dl6dCgYCuxuN7tVrxcOBEhKAH+/Ctu4FIp21Usx04gXKLPLvGCO5j30klT2HLe8F
oiHauBkbzgu9pOtvyTYylGJcGhbmMi8MTXprjSEjL5Yhckj49midLsIMQxq4fS/0kL1OskO3CD3o
KLTnQ4idncYRfnsJOh/hxR49UZEgQU7LKTJbWS8J03jGZPVfQctn3vIExeN+mNHQ6IcjFe9niWGk
37plif4JWj+9BaAfDH/OYhtvO89KNyRdcdQsmgChUAA7/Pf6Nxv/iWv7OKB8ALoJXfWqHKLMdddt
Ssxa6O1I5GWUDcsDf8aLIJQNVYa2T1ouiyXLHdCUfVygUq6Bz5DLtod5cuqFiXFYx4ruXVYaotwz
oEjNuz7FozrsrLw4seH1mWxIoUoS7bLQ85TSx5qhuvdF8UztrxzVLS787Ivc/v2HL95keKVmqcnK
STOU8jsXv8vrZNKn//4jfrU8fbn8UMkDNU8nSgvow36K2519FW4wr1yMv1reCxh2TYcUPQtRrhpf
YNF1VzAbpSZw9164sJL2aKK1WcnmVeEbHIDSoHt3SBf4A54/KxSJx3zH6edJN/b3JuH9Vkxt6rb3
Qed/S8J//LwpOYAtjXZR5nMjf0sBAHq/y3o8wvYvPEdLj4kC5MDT0lC2yDugt/f81Khui8NcTHgu
tstjFOjspKWaa8PuZ+B0slNr2fTabZz93P6F52VH3dZxt+ETjxVQs5e2RgXgfYeulXiol6pTxV6T
o/9ddxn9w/b11gdmOcJzPL3XFaBwG0KhzrR5aKK5SvFwUDmyxmzZWracANR261k2wnRXtbs6vQi2
0eHTGi/CBh6w56BHJaI0U1FVdmlkL1RuaZmlmr5iH8nNU34SXgR5aX98XYDAI2Ne0thNQ+GSagUW
pXJO35mcpse7eu6Gf0zEtu6OoZTDn3ZKSf+WpFnW/o72AOevbOUXoUJ4vpz1LTfDJllp0mqmQD7m
f5t938awOMo9R7PoTmdtW7OyNnv2leP6eZrjqAuLc/xmvT9E6ZHWfRtFaV5yjZfM2SZZ505WTsf8
ihn8wg1uI5I//gA6Lwcga1NWLsdWkfuMTVP8bTcJXKIhzb8wN4tmOXHC1N9N52YSeG6eg9Ot1/jK
kyhFVnX2ZEYyo/ZoWRQYYrnn4MBPq9EKVMTtyJNCHGt9cWKILkHxlXteDGxT3Lfj7soZsL/S9cCL
i8m0rwSJX9gs95wTQ66okeKdVbZEdkD7JO0F7T0SaFSeb+IhMmSJHFxJ8G48oR/2pa/Za5ner7bu
uVsiTM92XbuyTo/lrT36GPfnCEBroN14N2fTAotJp8OVmIHJ78m6q0uFYagy6LMyz5upWblBI9qV
S0XYeaMA38wAvYbtnXnenPXEZWuKzxot5NYPt4B4qJSFBTrmuXIbR1O8VbMrx0Tq65z3aHlz5q7/
fTI3t/lJQGeevwJz3jiXRFu5RfxvvATVegX8wPTlsqHD/t+/8QvbYZ7L0jVd+1ZVW0nhuB8Bmm6L
hA0q7IV8m4z7MdQB40/Z5sQGUBkX91nO7aU9+sBwwzyXRW9MV5lrbVnPmr2RukvfAtcYuHXPY3GT
VkoldCnHoa2S88TRZ0mbXTWXsIP3nJZXaOJEDpUX08v9QS318mgrtIHCVvdcFvXRaE1su1wxpLTN
n+gWZ/odnzLRhNkN9bxWJXId65XsyNmsOyvDvx750b9i+L8wSuo5LW8jhdmIai1Gjb45nS05jTmw
ZUFnc5v//NEoqWkZqdpsxclHXyeCBKzP9yrss2J288Xiyrgpimbxv1tnBPNvfBWhW/e9lWeVzZpk
LXIMtZzIbfU5/GA8b1Xxaio9Y/W9zZuzzZTFGBZpA4/d89aG8WyISYzVGfl7lExfa1kHFpuo562A
h+hM1lg8d7YrNVC8eBqJPSw3uDVRfrSYfaFppQ+1FnypttOeoCmWmGoJu6Ko56tdY0g/0NgWAMH0
p62Rf9sWyMcgYyeen85uWszQbBaQtQZYVMa/RutMAhf3/DSu+ESPJlqKdIz7y7zLP2fr5sDFPTcd
McLb9tLaohV5cxKtxLDgBJBh2Ll4fprSNqplBLB+mtvkLfDf9D3gxzqsRUU8P90tI4BV5LZ0CZga
T67PBL9EAEnPYTZDPFcl45531tQYBmZdP50ianhpNrJ8Dzsdz1cTCVzTsHe4WatZAzc5J5dZtUcR
tjp56U52Aq69Prgtl5z+kbTkw8zoh7ClfU8F6qs7jmgpZRM9ITx+PUgaWF8jnp/mEq3xpE+Xst2a
7GIb/jwoINiCNp54ftorTDXkmbVlJBeJGcD0MSVjHGbsN963H+MX2sKbmfcsKnq9/yWP5Avh3Zuw
fXteCkhsHeG+PgBfSeYFCPe5EacDgJyw0Jt4frrWAG8qNi0l6DHi39mCOHCapUvCMo3Ec1Q7YvJA
V4Mtu2Fyl2FPvzXSVIHH7jlplckxXQFXLPmB0dmuA+5kVq91Xm+L/ORxcAMD/PhN814waaJuKcE3
kb/N5jp5q6PKfAn7rJ6LkoUsE3heYY5N1WBkb/s9zWTgJ/V81DFA5apG2XLiK+DC2f5Vj9n7sH17
Pso2tm8SY5Fl1M7PzB5vOZvfBi0dex46bFVVL7ReiriKonPUVo/SxYH1gdjzUAzUm9RFJCpEnL8D
evErUPU6LLTEnotGDfL0acCZ6Kb/MNTDFUDosEh+4zD80QiZ2Q66o+hdDG69mzbyhvGwGzT2HNMc
fBGDwdtOdPVjNuwlMNNhnc/Yc0upl73BGExUmO6zA16uTX8LsxDPJXXeTsYpfETWqG/Tnn/InAiL
U7Hnj3ZcAV3dxFIec5s8u2MhZWvpfAnbuOeRtK/2vpX5Us4RuvukV3d5lf8etrbnkUrLmYNTOSq4
RHYbxeJPloP6ImRx0DK+tD8Y9gjsLK7kRor9hMGPCKPy6RrkOCz3nBJg5HRhfI2KUXwCWjNDfzls
255HNnUzsrE5ltusHMZEMBl0SkbxHLa455MbwCPH0VdzAaDj3abRbsew+xJkKaCKfXngk7WxikCq
UGSav6fWfJcMeOCwjXt+ifHeIx6BZi6mjr7nWHu3a+janmsmm8Rs0p6gbEwowIxZ3T6MbBeBp+J5
ZzNjeA/5LAyFOwEyovazFk1QgsVyzzf33LJN5fD8nR5Le45ZJYYLQQYkg0ILyz0HNVvHKqAolrJm
5s9oW7+g+fA56Iv6YK2V0hgzTzgXa2t+Ga2SJ0x1p0F5BApCni02a4p69I6N7/t7O8QP+wrKpbCd
ex7adil4gRo6l5mibzUAhwWoVkjYifuQJ1tPwFzadSljoz+wSGPGtglKUljm+ydGgQ8gyueSEE7O
YKgCZxJr/wk7FM9BD3QUZnBkzUAAiK/1vD/IlH8KW9rzz31aKpWRaCqPRG8nPaTjte/aMOgCeABe
WsrAtz5fga8p0UJyl94NTynmgwJNxXNQa8ismmSbSozDdfo02yl6E2HM52PYyXjuuUUUUZFZfNH1
+GtGBrfP2begpX0E0oKLpzFimEsl6o+7Mfdx14XZoQ8+WqtMiVazqXTr2BTrVpNLpPvvYfv2nFM6
Vs3TruYyb8xZgQary15LO29+8n9fVcyHGW0R6sHgk5rKplu5PU2paN+OwuynrSX2OIft33NSrkB3
pgY+lVrSP0CC8yUy6jlsac9Fd4AQtUirCf6/znfrjCGHBDN5Zdjqnpdi+orLiRJsnCVfuhWEKSwy
v4Wt7flos49GTXEzl5xIjLg4ag926jPdqLBLOvX8lDV1ndlMwyT3CMMQ5FmOYW9x0Gu8jC9a8hEP
ZixdHfmHJZbvKiqC2lCYl/aWzo6qG9djKmnVkTLKyPIhqTcZBL5lPtiYpGvMVwlLrGJ3YAxpLCkL
RHQxH7AEfqxo2edmKvsVRGTxml7HDZxoQebig5WWiVnLchw5wiNoxMgbzfcwH/JhSjnYSmw71lOZ
glLrlLrjTT5hTjZs356D5rCSeCdqKpNhfU+T8XGKl8B9e945SXQnxBaN5SyyLzKZPmg1Bj3imA8t
qnbWqdq0UylwMqccuHBQXnRZWDz04UILbceoHfIRfZtmPE9EfbBRHpaC+iBhkBk2R8/jsawlBYHm
hkJFYeNIhB2MD0Vq2xywsfaA3+QHWAasEB/B3+jCvqgPRVpbLiqA4cbS5RM5JzN7wk0a1j1nPgzJ
Rj0G1/YB5jLkLFaItYfCAGOWryqohoMO/8vYBfxsnNd7j7Ovmy099yielVXFxrA+AvPhRoeyFiPM
lSmzCKSb53Uz3T82T7fAR6MPOEo6ErMNs4fl1Bzg+6sFiOTmhoe9AnzAUZqCYSFeY1NaLcg5FgB+
g1MqMD5y7zpdNLDxM+1NOTOw6mD6nag/1bH3dVgc495tussJo7ngJCiHph1Ocuk+7zoJu/O4f52S
YevAdoFzx7z+3THH4HDUQ3MXFIF9vBE4VOlh9GbKtuLuSzxU9R2kiTA/HLa89yqliJOcHPisGO8f
5ysG7cEBxCtw4QT+gJf9ohmnht6sOHk6b/fTlH1uRh1Wm2c+5ChVHaZ3FzDapmz5JOv5w6aWT2EH
42W9dXVgYlXXY5n2+R/9sCVgh2KvgV9v1+dP8nYfaDSiZJ5FtjMlxtizP1I0Fe6s6tZAk/Fu1iWO
9sOB7KqEp+YnAejLKTqitAg7GM9VpyNCj15jdb4e9sQT86D611BM/6agPzsYz09HuQNel5EBFMVg
8TihW9wi2KRyBwl4l9fqrjPH9sl2s76nM41EuTTNyJ8x4paO71H/m6dPedqJO4W+5HDXqh78WqmW
KMbXO8bAtxOo5cbp8zaSyJ7jY+zVn0PTgCMIBGmSXBKOWnuRGrvbi05QJQMnMln2eztGWVuSdG/Y
fTW02wGma1QTfo+A7D2uCbjbUnBa7lhz0+Aeu9Zj3syYtiPOXjGrv4ONee1o/8eeMla9XxjoS77N
CR/HMnMkX8tpx997MYvjRRuDbfjcg/5PncWR1vauTsAV+ijARIItj458Aqc6aISJmO6NnCdXxkOe
Hdet0yu7rBOrebGmoOUouG5Wdq616Qbks3l+nLNJ0vTUDSAnfbP1IMC61zRZWOlw2tuZU7XeOxd1
TyA4idmFgUQUvJ/VVLlPOmmHNCwL8dEvYy8X4NvzocxRbAMfZvvYuDpsaoX54JcYfxpnmRnKYzBV
dxlAU17uYywDsz/mRftuZ1YoCw5B8JkMKFlF4JsAD0uQb/kwNcqqA1kw2F8b0YEYUX2qUhl46F6g
X9FG2jVY7kpuq3LO9UPFk7DKpo9Q4ytgNQnKXyXJQRZYRbk65ToZAs/ES8smkBMKhY5jWRPwTOxq
/Ee0U1jGSr0g32I2d+3TeCjtYc0Txr/k3UCXLiwO35g8f2w3NkLGtidiLutJsUeG5BtzBXb5GmYr
XpSfOpBZrGYdSrDG2t+mbHToRPTZ//K//n/OlUMw4uXmk16Cgojio4q643tB5t66UxpxkMAF7d+H
ei0gh6iiZhlKNKr+AbXgA4/msJELqDe83Lyx27SORzqUTZwDR7bM6a7PNG/JP2F795KalY+OrpaY
UoPkOjulw0jRY88IGKbDfsAz+s30Oon3GgkC9HHBmQY2ZCllYILg471MulWtq3GFo0cznYEoE2cT
bXFY2c0He20xppe57AdMomr9ICgIME9ivJFehp2NZ/hz24OjfhgQyXqbPjQ9jf/Am/YIKwUTL71J
92503Yx8FaWs/R68M7ZM4yUNNHovvyFU21zeAnwrO1ANbaAWt+BMCrQa32enZLc73slldPT07wZo
879dZ7sw5CfzQV+c0L5tWmVKLkDpd6/yHpSm1bbxV3qHvxjvZz7wC/OgVSV01pdOJ3R6Nkquw7lK
e2g6bPMQPWMiDIoWuW4vyOJUfq5zPEbB+wqKsLCvf2OA/jFkY5BWxLZF/rkdY5Odo64FAUXX9EaH
PaN9gJiIqcOb5RaZqiWp3nSyxkT4MR5LHOYdPkTMxXbCSCrpS0oTcM7tW7uxU6vYGpijJN6tJmbX
TT3BDxyWALbs7Beg978HubaPEgON/7HkFrxsZurn817Tf9zCQzfueXY9umQGD2JXIre9aqIeCJnD
SgD/zjj+MITXRRH4Q8EgUi5snc8qYmg1bO5j2KF4Xr00eqqTbe3Lyk5ZYZsbnTyXgVeljxPbUkh0
9/iipZz26FvXbvT7FOG6Cdq7DxSbW9YPrE+6EunKU7q6N3qsX+FyudnbT56KPk6s3tFnFNMA1Yqd
NA+JnsBAKIct7BLzoWKbEjJbFe1KCoZTUBZn2fjQpLZvwtzUB4yxfB+o6OOuTHnfnsc8u1MsOcLu
AR8yNoHTq65y2Zc51EMeZ7BqgdusXT/89ze9Jcc/O3jv/s03dawbtGpK7diIrDme67zQcTIMhcDD
qA/KscAa9zIUg5Cjqswy6dJN6Tc81N92afPlv/+Cn5sOvbHv/xjlGWjNGo5xLEwIDhXkeWa7/r3R
MYwbgObeAUnkyn1T9brMTVahujNn952AlEnY5r0wNpDW7m7C5iEpgTd+QgwYT/ewcEB9/E4uHPjU
ZhQ7km1Jjksv0fw9t33frkGPRXAAvDz7DDSMBmkEmGEbaCxldRy/HzA8FRQrUYB+ufohJF7k2xhd
6qTeh4c2TuInAkJhG7R75gMbM/CwZwL0xyUIKkF4DStqb/E+zodLyNdlsZcgdpGcxzWXCJicfLJL
/BEKYUGGA/3Gl2cDShKQk0/YO0q+HPo06C85m/RBMQfSoC9X7xEhIwWoapGkU/VxPSLzqW942Igd
qN5erq5ln4Aheda3xCD7YDrKywW8v0GHTnMv6zMoecVVd3PYBqWyYcw+RKyWgQfjPeXssfSHPaQG
bAW8YmdMxI5fnc6hSPXfFvNvseL/xmPqA8sEo2QXwiKaCcu7d2OS9PZOqnWcrniIWXIFl56YLyPX
+/AYHXgVPJq0HbuvJKHsagVx9ymLwEWeu8qC/uCIlHrX9ZB0OnfjeMib8ELlvg3VIe21N7hzz5a3
+3faMfZmNe3ycICq90oru2EJkFQ0p7iTzD03CeZbPqgbkcRzLzMDpUKbMof/Om3nJgby86k1TeTA
Bsxm+ZaSaliDEknIcL+0F+AaoX6FgeSirpL2ac1V/kigwxN2wVIfEjdEig+ojqqS7PHfgowg4azf
//fn/MXd5EPi8NY8ukhsqqQOOFsNrm9Qbr7GdHGzuZ+ZinfxWRt1tZt3VY4GZBr3E4TLtkt+APVw
2fBCqO9FLnTzNewv8a5BkKhzwVauyshEomBq01dndP05bHXy8gs3R2XxRqSqXAfWQK/GfVla8to5
3XKMn52TF4WTuJZWTVaVAhzdn4CqZu/A97v/ubdJ9Epx8Fc/4UXjuMrTmoA+uZh3qsSlWcZpBNHr
hGL7vdww0fbKo/oXn9xHzQGeABp8UPMXtVyUAkXsngAdFulCdi4jZyC6w6pKUPN7+UVqqJZ01aRx
aD2JAHQTXxCIAnOq1HPoCIQjKAT0qkzQjoOI6HWhycf/tqRffAkfRJdC4SRzmMG9qBraMve5nvl1
yHL0/UW96jgIXUDT26//8ETkWBtk8WkEmg5w+2HWvf49H6Ej8t9/wy+ixr+SSz+sPh/5KOUxtWWa
8uUKzHV2Aod72GOFpp4nrxKlSGqTppQsY1ezHh00WmTQO46mniPHwiRap7q6JKt8iCtIqg4i8Mw9
NwYfvp6HBUs7x4oqH6+dJGXYgXvue4CpTM65qi5Kkjcpj96MUNAIWtrH0AFWeCPChUSgabfxoZ3n
pYw4/RS2uOekFU+b9aARjD2p58KYiZ2OXLNr2Oqel8a5mioeR7JM5WzeAPX6ZayPMHJY6mPoapHW
0UqsLPVB9NXmS38XjzoMikp9GF107OgbdiA9h2jfeDFN9hilkHcJOxfv3t3bGDqHdMihaMvkfiVk
+2wmpcKKilR4/tkMOTQsWJ9DPnF8UhD4aqch7BL3oXRHs+91VyOR0ouVp95C2cVp/krk/UXU8pF0
K9D5DhN+cKJ5hSp2Pp2hURQYEn0onQNJz7wuRmJqqTvOfW2G8QQm/jwMkAZC6pcBPYe2JYOcVo5B
q8GRU6ar6c2wKxk2B0l9NJ2FiGufjhRM+ZtD2/MDUACvBJh/S7U/SW98LB0TDgKE4H0vkyOi65tY
dhwDRjXINp/BlDSUkueQfkjHFXrBAtU1aLssiq+gsDTiuI42j0dIRUFi4M8u5WQtqwzCPUEVeOoz
/Oh8gXZPxudCpvt05dUCmt9IhfXVqA+8oRuhTqtlLugGeR1Mxz9jpHJ/5Vx/Yc4+wY/dRtDkpMdc
HGniTgoacWeIgT8HhRBGXpobV1ZEN9mYwkFgGgrskHyfmrD5Icq8izJypoNqH7VFDcT8Jd+a5hwT
jG+Fbd27Kx2gz5VcEUxTQ77NHf3UNSRspBKKNy+PpenwYh8Mg05wPEE70ZCqqCpAZ4J27kNC92hM
QAKz3MpJ01LfSxpntmhmNfeXsB/wssJeygVimU162adG4LY8WtufGy4S+j3sB262+kNiOC3KuhUi
M4UdGlN0GdsuJmdBbQ/qY0LxfuDU0M4WyY2EbuMjaANYGgT2pz4k1KQrm6sFi68W3N56ZuNp0CQM
cEp9QChrLKgZbG8L0iYGysRJCwEe/S3s0D2DH6BJGse0gm4aabpTFkWYJtxZHJZk+YjQGsDnmEV0
KQbAvE6DmuonndLlt6C9+wx0bDOGJmJciihHC44pCAjJg4cdjE9AJ6ctGYAKWAowmpL3fberbyJ2
aVhO7qNBHW+2cbEIkX0v9BnM5qAnYtVrFDy/eCb6LF86USNRA82uotJ8fd/YTnbXQxA9XdlkcAsG
nb8PpqpWWrGkRUDjJIsuK+H1ud9tGJiK+nxfpqnSBTIvCPR1Ly8ZkFSQ2z7+Ctu6F8xUiy8APONU
mN0c0Iob2wvkycNijQ+myg2Ll47zqViVXa9dk5ETGIZdWLChXgZ9dHhuuGmbiqVx+prM6rNLWh74
Sb2rG0rozA2o9RQma9Jzp3cI1sspDPaPrv7LCN+n0HBKs8oUURdN59aZHiI/RxhzEyagX65eMQj1
QpnHFHIZm7PjnT5noJYPu/58DJhNoDxlpxoCy23vnl1s9t/auH+N6/12x/0kzfVRYBXdtsQCrFzw
KcE8yi3GG+hSn4KsnXhvXSjcoFx95PmVRSidr9H3QffPYUvfank/XNoK6tkVJC3SK3i+IKa8OgD8
IDM9/x62vOeniR7o4OIpv3LT9cCwtrtoHkWi+yzMV30EmJkzi8TJ5NccMnrQa33QceDlRzxHBRHX
uBwES3cMqfAND9GHARKpj/yCgAL0vtIxv7ob9ZHaEnZmTbYFmovnpm2sm8UdA/TzVHXXT+Z9LMLY
BKnP9BVzgIpo17GLAPyh7aNH1ssPQabyfyBfoBGCYDqkdwmUhpOSGY2562br7Oew9b1yVG8SqOXa
Ib2yIdnBcc5m9nAb1XuNT/DmjD8JAT6eS0bKsGyrxLUz0Xy3VOvaPc1pXNcF5lTT6r7u3Na8XVz1
//C4/vd18LMf9dw3PUjVr+2o8VLYN2imJVpqYgql4HX62lS70qdx6KAgc+rpiLt9b4+pT+8HbUQD
/cQEisoQqHRqPe6b6oiqPynk2kzZx4C0qhNtD7dt0DaezPioRJKZt+tcbYm43yMGxbkThF/rCELS
NJdQfpygAI5H0SDw6U48H4f6TzM1kEKFAmEqu3vqFOieLwce9Gl9OcZ1m87qoO3+CRRy2ypPHEqg
ajj1h9whiZrkNhLslB/gbld3iVEC3PQdapZLd8JcgbbY4JwO/WdDOuSObdpm/3Smwz9PdmTrRQDu
C3FQnJA6r+tGZOkOu0N1ScV07v8cULRNoUE4JXECecQMWsxfe8lU/r2rLbR3MMjphqk7ge2rPX6/
gfTujOugodiDNGo+b5AFTdQlxeBkVTi0bEgRQb50PlcZLC0/Q5nx4N2FrI7HkFNcRX6V3LoOc2Hj
cNyBxr8/p8Ks4m0bW5ldYkk3em5SMSILy7rsknUgwD3tYy3GHvjNdmhq6C/iiZWeUSHZIfq8TGM/
paeMCIh0j6ssK5YibUQsEZ19wNcaGkiWZsjsTnkS6e5iu578MS6dgL6129PvVrqDXs00cPXkJpKJ
35qRpOkTXaD4+uiqJrP1RTvMqLBrvtkEjAhOpFa/xYRGhu9lJGQ5+3Mdu7y21xisxsjGunhw6u4Q
dN++jVknh/o8rCgG36eYQMqfkz3d5+OsewYlsTqLbjSQ2uoeaqqxhopsDQad1EJt98C3HIZ7wlFI
I/dC9VlzUkLlV6Ga/jyIfesghc4hUQvF2OFY5zexnVWxTYhRT2KobfsMAeO6z2AOA7HXlvJ5h5Bx
wwhYYptDX1DjaLKv2UL74U0OAdHp2vDYQl1yMwuK+ac84ylBBrUslNJzziltP0A+fRJXEKyo/U1P
tgRV7XgBt5pDm3lZa8xuxccsFiA5BUjWYm2/ER1hZmZaU2Y+pbxLsktTzbz9hjpIpuE0UB9cL3PL
h/lJ2bgWz4Bnjd21hVIrueRDPPAHxyOiHpNmU+4v2evBYmJmigb2NMJpm6I3zUHuocXcjl+aCDqg
BOFNQQb3lHYsN0/xsqjkG2urKjtOVZ13dblBvpE/xJNkw+/tJg5+Bud9jGn0eqNJDmpnLvT3atlq
Be3HUWXfOBWj+YLpctec0V3C3YVRieF4C1TfnOF/HiL2fYD6uINiqDmOZ0haJ8nZNPCk7y2Dmd/V
CkqiSx7X15iMWfsum2wqIJIsTfNxVM3u3m+YkSAROtHgDYAAI5iIxf28LX3/j0LnpnnTipEe5TC0
uiqhG51Mb+yYpwTKn5SRr5kgLP8r2VT1hBHy6AFtJPcd0yHdqd14falBEBRddumy7QEiD6u7A3kQ
/V3nkuUXozHp+CE9Goh7JnUlk/ttkPYoorFp9zsou8aihMK4ir/EolLVx2bMIbJtjiUCJ2Ib5zPm
UDoBIb/VzXx6O8duie+pEUZ/hrJGNbyzPE+ba9yoIb0se7sidm48m6BwffTJ9HbMV/FdgxOgP1eo
0mzvmj2eEEqaYd8KwYdlqi8xulXrG9WC4Pha1dZgQgWy2PVzk805u++MMeK0VNEkvjVN3ppz3c9q
aU9Zn1QxxIGg83s/625eLstG4ugCqVwCOVztNvMVAvTYwYXHdQI6wx27kFE9T5ABjea+6G+UPJAE
Rvh+GjcMphXcTNsf0BndBBTPamg8niEFId4iXar/ruDCKQQyG9KdRbfx4csxQp8RBEddB8qzE1XO
yfttwZTs8wF9uqk6NeOS7oj3zmzDcGoXXNPbCRXvdf6+2ZXy36CRMeFCUGCryT9qrHL7kGaxUwER
R3Q6i34jHT9h9rPnpc6TXBXrCgHQ41Qn0Ld/s+1zjQrmDumn/A7i5MgRMcnWNPczhM+iE8TOZfRJ
cDWRC0TGbXSZ4zXJL+nhXPvbFDva3q2L2/LSdkNUXcaNVMcjhfLc+ziZW/kJVWRyqJPUesmvYI2v
l4dc4QXzdKAKkV2ZkrjvlqriI3DerNkfuzpu1XlwU7KcmZnSCHMLE7SsN0zPuTn5uMSqwzBGz5bl
vdzjlNwNaBm3TwOY7qBPvh4MCjfgFT+N25Qn9wnN5+Udn8eo/5PIPdOPQtMZNtY3nW7+ojpzsIQO
lG1zMdSZhNKwc3tb8E6x+bNQa1M9zLVs6T2GaIV+aycCUawC4UiLC7SMaPW3A1UyOM3npuV38yDr
GthmDDHBRjLwKD007XKYO9N2FJhhAgxxXMwGqoendTn+h7MrW5IUx7K/MlbPQw9ISEJmU/0A+Br7
npkvWGRmJCA2gQRCfP0cr+5ZKm2qZqys6iUyIjzcQUj3nnuWnjzhbyavS1TZ9UsL03ho0iWphjgb
Yb9YZgH2pyJbC70+KcItPSZSQ+vC+h5k1W6ZkiDzerZIeZsGt0JAsogow0Ahqe7xdhm7W50v62PQ
kxiTo7pogvm567ahP4O6W22oivpt/YZTwyBi3dRhGD1cJjU0zGg1iu1mC2XcGezEmy9OicKth9Es
RyLYtcOGPN4h/cJMp9BW0h5XyyWyyLEZVPAEKHEZjUmtxFOOvGRabnOZjTVCpB+oXJEQjaSxhO9F
3GF/Sxvq1HQXWiTovm+T0bFKERy7spOHKGq9jbH6q0/KrMiIwYekQ3HXABp3j0mDi3jeiJrWHDHz
zB5x/ge6xMUliIN3mxCuRPFkhw03cyqX/eKaoHsRkUeg8oJrtpxHBQbenVrqqs5iVQ3m06oFYZ87
InzSIYkZRtUaV4q25fcenqnhPVzrY/k+wHml+TK2Y3PJXochIs06RZQ4dsIaJLY3VZjwIR2DGeHV
aYtg+Uu1B8tYHrBF5AYmDQOysBsRfIWrvI+zEIe6Om3z2DyLGet714Su5Vm9bpi/dKKP3xgBLyKj
PilUhl40FggpHMR8IK1gfEnpGnbjra7GCpLjCPadey1VO9zQTiM1O+VQYL2rYbTrnkV1vNxFfTjB
fxdzVvkcJ72r9kuLpJz7kVT0U2KQ8pKbuAAUkNSB5be+14XYh5Ny5A7zJ9o/to0w21Wk+nHAhhnj
2QAtHkS15NDARHW6KbpWIqw5iePy3oP5EmQrr7vl0WxuhCAaulfiMtgYFk0mZFTru8YAY0qrrmzH
HfXQ1bZ7SNSiXVLQvs+nsCC4E3XVRjfxrC9Jrtxcip8EbN+qzGSyMJJ38xhGSHzfVv+mkhauSQhe
h/DvWUPcRl9Lw4drhIGj4sqqUgVZpOAK5zPs7ksqHKf2jcywPTiW3Gmc92INUaZTCHi1TT2NA3uq
8RbCh3norcgI42Pe+GruD82KR/0zCye37Ilo2gjJJBMsz6K4pklOWzAxU0OjbS9xGDmbTqxQ5nYG
dUr2Wcc70V43pvB3ib8EoG7TRq9MkjThLkGCzYpjFCVHPm0xtn3XLkF5anjP7PPcFtHy2E9zlAGW
HskX3xZuyQpXxUeUawiybKCiGTB1S6dVVcfKahhrxNBV47ClSOi2UqcDwpB4bqeQHEvUA2+uE/Sq
hJVSl3KpRpNVEeElPFs1SYchVvycuNJ/j6H+UTcEj0532JTZ5M0YkOk+dLB4RQtE7XXJE7Khdori
6X4JNJjkdhUZh4z8BhA6xNrIE6VwI4eS98ZPCXkZXFDuGqJ4k3bdaq+WppV3pYODft5gGWdsnZHk
XRX1MY5jeT3z0p/LaG2/+HJRT5K2U1aH/KFlU/fCFMLn0zLUBrSTuW2aMV3DWjqTlqh2/d4j3s0f
EVZdvvJo1WerfCJzLGeeddu8rft+UuzsQV+MX1yQiKeydWAt5MT2IjgWnVhcmxZYuQlk8r4Kv9e2
8PaFMc59utTdmoDKGS3O5/XFD+DU+nWDbUoyRV4jWXccDUEfU9NB5SVfouC8RDEEzZBPu/A8VVEh
b02wGrtfoPMPXzfeEp5JHy/2ao41K7+gcu3GHbMkIEdd6zq+VuvSIn+17Jc2dZGeklc6tzq8G+lM
9Q42Db6HJYHh1Qnp67L9HFTIElYZ8zWr89CoyqYzq1GKSjuLOpta1CguLWhAaZt65uf625owOl4v
67BsXxFK5VAOVTZhWN0tni2mUwXBkNrBRacghylpa/WwRuj9d0Mf025vBfadHB1NKU7jhX63G0VH
6B1ENYpdgT9LozySK5OnCLKp9UcNfUB3Nxub6DDzslyqsxkNDXkKQ5EEE6lNkdY/oDUWBF0wKJvb
lTGtwb5Q9cJFN7rDI/nUoFl1nxvWyFOMvG00yJ0TnyNDm+BLh5kW2uR1YEgpBAhdZVgdKJbSYl6w
u5tpXvOlK6fkjUPTb18Th739kzGjJCpnYgxwXhU9C5Yn7jaFUPiAEEFTa4upy2RBW3JrtmT1P2LI
/dvvUw012y5RiPp79G21ShgOsGG6R8Yza9Zdv8Dd9SDrgAz3HE8ZdsSQTmOC7alaBcDCqod8/6ho
WLkjbaom7PJ4m1ACpC3nvIQN/ID+AxWfGjO/6EstghgX6x6UnabSHWRTNtNra4JhQaJ8YOXJGDkz
3LFNuikfSbsuXxrJoEXiVSPNF+uacdnrMuyCTDZzdFWPZcGzEbNHe+2VikvcElFDDGiAsmeTXkYU
pSOHnczrvMElF0YAY3E9lGQ8uGJNHkdKvEV1wLZN3/m2bdMJeZqIuo/LmSJfLFHD3ruE+axEBOl8
2qhBg1bJWaTGuiHQqZ2tMw8icqL6sSDaJNltDULsc+4u52paGmRMHAuU2dc1rLmw6mjU0XOhkGl6
pUs/vMkEFyGn1sZRm4Y1psyvpt1UgCrVh8Fh3bCuD6gDInG2OALUu3O0PqAFiOTnARbnosqYLMP6
US+sqmAJHXW8nlMsMkazBLuqRzcXQDi3iSqqbxPlwi2b8MC/NBHrdm1R8x6PWjGfhxAIxg3wCsru
k37lzdktk/wKJOYTSg9LOCJVOCjgAzJiyGNPyuIL/CxUnZcdNsVaTc2NtSEqsw0GI+7UiqTK9OYR
OAIGfXisxUTbm9FS095MxWyuZq0H9Y7MZvsRjI0x+ToHuI3xKl6bOb4Md5oEZ/sau1eOWsLm5Tai
Vgevya5p60S3h1hZ8lRpV6I2AG1hQdhdsgKvxU5ogO9YdetA6EdEYnJBeiD8nl4bFGMpYWCgnwCl
S3NNx2QM7qkAiQ+kINGXy2nhZWlb3JTZhwaK7kLVuzWkiRI7lfD6oRyRDb+LIBQYf6wLaZYsqIBc
fYHdARJkJ5aYeNdXxBMszZo8TTX6kYPvlUmJwgaq02WekGJXkrn6lrDOkFfq5mrJfGcidDsibpc1
VUvSBp/rOiq+JpfS5JisUJm/eK4/bNPaGOWuHCMUs13czEeJTJAkk3zqPgaGRzZNENmRIRYkjHet
jJPfwL+GbrgIPtnB37KI0cogVH2/EuHEJ10GEvrjWhZABgPZwRnJaFhx5ChKOndmfBi+te1KI+xz
caX6Vzi1SZWRqXL0qGzsv6N1LrerqSXFR1e1m2SI5PYLue4qF48vQRFy9hEhMoN9R2tZARlRJbuW
w9Rg7wgrn5EyGt39JAuhITXCbCkueRne1wHnQLNReoRXzMFQdC+XiZN8tVtIdwtfzJK23bw+wRM5
it/0JJeHIIjNW1KI6AXjdrsdhgJ6i2MwoDFe225ddjxOYOi7qUW/4Zo3V33UgNbGFTKx4XESD6eh
knLMmO47l+qgaD5BqbumI4NORuvY8atp1cG94G694XKrkv1QwGJk1zK/HkbEShwi3YanGDnG2PN6
al4rWTJ/p8sB6uFlgd9Pysa5sE9uhsXrF3hwoDkz3sXVJ0DDVKR88bgOxCmFbUHSiA6oOAT0x0lo
X6qVo0ikgBLKElWGYgHsYcUW5BNo8GzHkhK4iUPiOXJKxLTVB6JD/Qr7ddU8kmSACHxFAsNjjTeS
0nqJ9Jxh2/bWpROwMXqnm0rEGdV4Oy/DULhhr8ZCVRmJhXZfL1zX09C3XXe1CrG1+BtNYB6bKHbt
HS2FQ8Hma7pPEh0MR1AohXsAFN3vsE30/X5iTJmcVEsbgS6H5Nbd4EJsIvCBOeNeAI4oNBs02m0H
0vLivX00QaWWrGdz1J6DYOm2A+zHtu8BQ2xS2iIa8qrchhWPT5HgcjQu3DUynrNxtO5MhwgFZ1X3
V15X7BHs5REKAfg7AueAUQONRfEp2EAn3ydQyPgX4EzrgoPIhNF3m0wlEcjAaTbAA6addX/qMaGo
v1TbaLoMdwqC96SpUJljx2yXLqvGQsO/HOZF8gYWaYnIpON6Pq1DPCKgHrnZyC4tFp7UacBge7h3
kl4ewkAtZYl0xREdEzafJlebke5kIcqQKRlW2+IxxrzrY8bZWZz0ZMMyX+CoHYKJ2ZE4eh1iVGj5
4uRUZSJeOLQ+lvvmteZweslD+M3Xn1oAGnHa9XNVvYTrht2jDAIenbmIOpZ1krQkH4CGLdnQL4C2
Uujy1jJX0HGFd7Eep+QBgSD1knq4QOvd7As2pJ5sMSoYqSP7LZiQqpAySD3kA7JsFnGovHbiG8eH
cm8GBSq/ZiZqRRa3oiH3belCmCZrNAVVbbru0UPA3+yJMmHnUwax/QIAs+q3Eo26BeSARb2iKESu
eTEijFqa4qYawno7RXG49jdSA6dNuaYOfum6mj5CRuvqlmxFDypIETb9cU6WgNxDoiY4nqmJbg7z
n97rPfIb3bQHuUh3GaYqbP7au84ECEjcbHIKWsApn8K2u9whjsYnjyapFXR/aMC62xn4YZNBX2HN
nMJzKCJXIScMzSWzQX+swbNYvjripckLzgt7cNivXT4xrZtdS2ky5gSJNLZJx6nz1R7dYCuvihj2
ayBftpd4MKSlDbmqarmeCxuKJINOpJQshxNDiAeqLjrMszEKHcozX1a6oWaxOj4CJBgwrR9R26XA
YaMmhTZvU/mIZdDu43WOxg9Rs6YN0DtEsaVIooeJyQ/ddC30XA0mZBaHaYc6Mc6CdpIHTjTx66mJ
Epq8wjO6s9cOrf2q8cHrWMWoQVY63DFRt+tbgE8jg7SKLB3m/cXNGg3pkmxLfDtfOuirIhiaFcUX
+LIwmPJFWd75LjJoVqaZcjzgcQPMSmSYtTB0q6HpZP+t9uiuQafyogs/JrsEI4oBwdAwDRZy2wVp
NcN0NnKYkzuGzaNEqZio7XtTYRrxRSk3NPu4jPvA4epq2iMsmU/1Q4xyH88ykSJme43SaPyodMxc
ktpIwq3ZiXhOniPgczXiX4D/269yiufmVQfzENwPJQY+D8ulUYVjgU9akollhK8xZHN6ak9Vh7kX
Fkms6X4SaHz4DjmK83gFUWrJXLZhhjSg060nUYs8ZNwmV05jknSN6jrh1yiLYvPUt6qZzqKkbjgF
M8LMv9AwLMKMX2q2/Tx0wZy2grjgeghh8PQQzGauscfBhj6TqIz7nZ+7ZLqtjYXQpWOhWJ63Fiyy
LAkNhjw1bXtYzExlYL8l3OjimTqDzb9HvoFatnOwIV8bJSt8DduT0yX1qKeQQZ1FYrXz0Q+9pMcJ
KLs7tA3fwlegioyd6waTwEyHHQgAO0g3wynJsTY3YFsXRC3YjxMhc0Z5p4IUz9wN18bHmDUy2GPs
wwjU6nFfBxHmPbzHiMenLSLWktSPq2b5VAkWH+06y+2o4zUIe1i6ETdLYHolstKGWUbqmkWTMa/M
wFX9Q5Tx3F2jsK3FvmXVLJ+cw2gmb8tElVAngpx6X/d9y6+Ksu2bJ5fgwlx5kjTmHM6I1LlZ8F4J
Isf9xu7VLLryvKpJNi9o9OpiycIZ1fKYqyHpAFvH8Girw2zGw6yDDN4f3Oscc0CRyH0DavDFwlh8
hoNhaKJMShhgdrsOoyAzn1CATbiwVig93eOc7gE8g4yDURpqN+mfKC47xFWSVc32gulJse4XPMl7
uW3iGk00D65IUEgUdjyEex25jPEScggV5/rQKDGy660dIHKNiB/sZ1fPEqYVzQzrkL0t9eqrNHKc
Ccw4CUhX4WiSJeMANsyXboFl/f0A2wVD9her1wiYxsqQvp5Mm1xUJjvnmtx30yVRzhp+y6Yi7k8x
xOXuOPZ6pnm5eN1fEwOfGkCkIeatg5/EvK8B4kdpYKIo2GNGaeu8TUqJtlOPRqNCol1N31eBmPer
YivV+ghLhtgCe6+KaftOe0bLr7oZwvYUUkgdTyFQ3/EGAu3JPrewpEZt07N4vY7iwPgffmRKX3tf
BgYA30qSbJMoR1LgyzNmK7UxIPuNNr6Zw864zHoEh54mvAWVzxshTQZuPMfMPI4vjMYl2UuQSW/b
BcnAL6FrSnMz2S3qzwKxd9vlbosCWgdpPaLbjYjVV8B8Ac0VSwJtYNaKfiYzPVZ7t0Nl3eCAxEZ6
afPdpN2dDKaFZj4IogkPSzJOkEtodrmCUgOuQiUxMXlnxNIGUHbXov4+X87H72KGUh32Bqw8jYP0
URpiv2uf6DQRi2evZN1oU50YCP0BMSEoSlRhHeaUsAD0GlqOxS2phHV7bKPwQlzavl4+rFr1ej1s
omNv0zrzGM3LqOaz92Jb3xLR6eXu4uFIj6abi7SD2c2YohotL2C5XhecuRhg3ifeS3E2FZQGtxiU
dPBgQG28AdoaG6BWDMGVMbPvEK6OSQphEXG7lesGqN00Vo+gSUSoiBaEMj8qMBtxLiJjA96NckkK
+Sp0KEHu7UPMs5ZDX0zjYNMaer84HRLwCGiG2fc0fwBIKgHeArAJ7TvQiq0OUm5RvqqUYZe1wBDb
AWqPFCb16Dv3K+ShCAfq15hXn6Gw9vOUzg4hNuOhWyyrVeZG+IejDg35yqJ8ohWoHPm/msnCnjdg
yQGTKmqzEIwgkwaJHYsMRsn0heK3g6vFVaU+yeqC/ZZov1d92TPj4m4gZtoBLdhm8FqDIjj9azGv
4epN3B5h1L2uecjVMKebr9gdBlb9nPMC4u+/xmD62VmI+7jvht60u1B+UvEzX/4an/lnQyHW0gXj
GrwurR8TgBY1+4sSmp/thAYYHsqiFmKPYzIEiCSX8MZgtzbHP2cv/YFhFUYGvyfqAQojFow0TCYC
PH9jNdT2qnPBABtBM2kATmRRiAUQciT3qwF0iwZLBWE2BCvu05+/iQur6H9jG/1ELCsxolnrYBL7
AWmmbV5DR3AD8uCYoV7D+BGzuOT053/pj8hUP3FBp9FgqYFTvIchwCierB+KOdcl6tzc4WSCOykc
SVpUpavv/48r/AcUzp/diRT4YThNCNvzBJkcFrYzuxFY8//xgf7o1X9in2kk+hlRSQbmSPe1maJX
l+jir0lHwp/ooSjTx06XBdt7xH6k1eRP9dzSv/jiPzHMbBTZfpg52wOD3mGQWqdFBOTxz2/zH12V
n+ihxbrUlsma78swMDjTlyKNKpz+f+3VL3/1f3BbSaMp2EG4LmTr4M1rJVImt+Hpz1/8D1ZoSH//
4nyKOqdXheVSCUm+G2BKLgu5J8gVSkinUz2DjX2EroTpvxTPR392hKmS0gnYCLE94lDZWzxO5lZF
gFf//AP9trn+L0/3z34wQnkKWKiM910iKyDQsvcOwxX89+Ejy19jVN74lz6Oen6otXpWW/0cYaWx
Y2HquUKvUlY7pDN+XxeK6ObUCpRk/3h3//Y7k1Dz93/H198GjWa/rOxPX/79eejw/79ffue/fub3
v/H3w8dw+959mJ9/6He/g9f959/N3+37777YoS63/mH+mPzjh5lb+9vrlx/D5Sf/v9/8l4/fXuXZ
649ff3n/3tV9jqZnqr/ZX/75rdP3X3+JgBsmJL7sN//2P//KP3/k8jF+/eVcvU9N9d5//4Pf/Hg3
9tdfEvE3yRK4JQopkxChJdhl3Mdv36F/A6Eeo0JKmfzNEaBH+mn16y+E/Y0kIsEvxDRBqs+FWWqG
+bdvRX8DeQpGukywBN0gj3/5z/d3/4/18o8bg6vyz6//pZ+7+6Hurfn1F/Gb3+B/rysBngBNKIEe
CS+HyIOfBSFhF6qyCPx26CLMcbJ2DocLxzOi1c7MbJZZyAr+ZkoftrmZeG13GqGwS1Z6mNLlxhB0
DYUelydgOhKaUWbZ3rZBdwPk2u4jV9nHAaVR2keDyxTrNplq39bHC4KC+E3e5WDauaOTM3c3niVu
veZDOGFOMvT1HUMSm0zBCKvQCCBluLqahDBkB6pE+xj3lnnM1733GRMbJTv4PPfyMIgK6tVB1Q5D
jpKBfJIolRxD2bPl2CyFelxmNh5HTCyaPFr7T6wfVpnNRTR/x4eLsiYxYN1zWB48CzBZMPINirZI
XRcVB8fgnZMFjrshdX1H9yzmS7mfKDwd9/Xm4gHB4kV9W9sIIFdTjXGXl0Jv4Zk0BW3Swq3Ae1TS
FOKoRETDY7zBXmtXTHEN3JA7vmZ11QdfhrmQEoo3X18DZ1bvYzfX14aEcZhOA+DIK/SBSAdLWvgL
ZR0VE8+baTIiHZBm9al0w/wZHofwfuSzHT7IFtAfVSwuUbBW6+tiq/3N6hZTptjrzZjORnqAb3oF
pzcg7j7YguVB0amDzU8VqKxRVdnu/OiCT2aMPWwsRm6GQzwafh8QVgC3jtEyp5uBWiEDmtg+D7Rd
PHiYITxm442DPmPaJPrBUZW3wCCj9vMmLC32qO0lwxRmU4e6hkE5mj3AnakSzYbhDuYrV6Bn6H2k
+yUnkxnvNcyl7itYpRypHcbHSiXh7bjWLMD0V3UubxlLdg3r9HuIhuU2XBSdMz9iNDNo0ZzhX08w
DWh0Jld4EgGgXDRq5t7DvXEc9gOL/L4qm/VN+AJk0bKXR8Ma87rqoX6LpUKrRtFxAzlJkk8d2oOn
aECkX19yk8Z2XbImku5ORQlAvoaB2AOXlxt0XHKP0bg8CDAK8yJyMC7EXDmfY0ykS4O35ED23UGE
sN0EM3jEA3zXzzjohyPpKhDYYBd4YGHVvU5RrLMhoS+cxl0KxHHFsaDTcblaCB4DkDVqn05owR/l
wuiprvBJQZlK8hrKnauxmMK8sLV/0SW4RXye1zO1aCIrsS3ZiGAPn3I/ySyCamlJG1KU9xGLtgdK
lgt4o9Y7rHUK7qLCsKIaWP8jcbF9mAtNcjWz6Gkr3fYadBM/Yhzo5d4p5EqDIKT7V0T6krd4UPq1
Gez8Y64m9SoidsLkdD7GDV5bheDbZeBI8ntPuvHzSDrz0Hdx9O4kgGdwWoV8IvUcZn2F6JpMdaAM
oAGGbzpo9FTtHPVbDstw8o5xuPWY5Jj4hZCxvEPqZZNPbum+rjBdBdOV8i+qCsyu6qDbzhcwRR/h
JFUcvQbVtO6G9rswBeh8wxjCZM8GGOYo0W+YzYRK/yA1xraXhfBMN7H9qIRzOk9c2L5sYygefLfe
i6EOlnStLDjRgkUOnzMYl7wlSfSZUhTLhzlee5bLti1uKRVon7FHPBYYzmOe1qwDRkKrf4PRbmuR
1BcOR1ihg8qnaEF/NNOwKdx5OlZAPgl/nuHHS7IZ9PGLRUP5CMvN/p1PMZ7+Ze7RWCe6vQ9rDHIz
LXt00IiduGaktCDvbPW2X7WV8PwH+SWuCzh+JyGYQBxrYJr8uC9jEtoUI8TpvIVs1PnUTjzK4cu2
HVufsHHXg4l0n0QUiYhDg4dEcxaDg2qJeSxJOx7qYa0GUFNm8wSLjXrHOR1PoZL8ivK2eCzbOP4M
g4bm3Idb8SVw5inU3XqtytnRVIewEpMTb7rj4DDHW8xGOnBDyvnUrBPxGDiDbR1Fnl7zJrE3oMaB
Zo9ZcXXXsFXeSsJAwFZbANBsaOPtwXFTuiOprX0qwrp9rpDd/oWowO1AUhXQBoBmBZTdncFE5tct
WTqgmTNMm4MZQuqmWRF83Xt/XIaVnRs1QXsHWmwP3Ubo6mBnjeXBHpHqNcscl+MNHgXywiszYJKs
yitiF372sujeV1A53gOI7w+jDPGeHaXT98haqL+GmjwvmGvvtgstP4HY4bqcJv2tLEr3jkEEMKWS
MpvAgbAZ0fdDunEE/ggstbatGNOo/1EYTFvTS7VxxKSd7kG7CnxOAIeebAE/OOUauh/GyxX1mJqA
hcaGPYRKUJ5US/MQwBmOZ1MI2cMeIRw4bxMtx1tZYXsBYAvifFq5xb0HtC0wOeoIWNjWzz9g+t3N
d1EzVw3WXdwsOD1Ff1NgVLDv59o/YOChcLJPZnroB9HJDLFOJkWKAIaQDbDr636BXATrnze3xmD8
IyD0P1fMgK8RU0W+AyAtAJ6Q2YUZdBH1lWTeyT0hS/jCEfnxijO7AYkIjOQ2FbDb+wKSDLtq2wT8
Fs7ki6wmDvh6guA+GRR0Hw2Zg6u2LrbwVC+mf6b9SE06WqOutjEI46uq9/Rt0AB18pVNp9oAS02Z
6YfzYtx4ZQdBHtcwIedYVs2+MCEIfknZptuwufutN7ggEptuGghr3y5KnB9oq5Dp4yZ+aO3Yn0DU
aTEEBANCFmN8DfIEAWoIxtSbxdB9ThGBiXKIlZgQnRDezW/qqqpv22Js3gYZ8RsUbGN8KMZ+HmFq
KttrCTrLZ7nVK5he/FMYt/rgebPmJIixnMt4y+Wk4+dA0eYEeUoLph/V5oJYGPGiuJ37nQYX/1Bh
VPS5L0P3SrB1gmVFJn0lQUfZAcIKQxAeyXoka1udeT3MJw8W8I7YkSM/CzjuTCsk0CgFGgkERV88
8aNKaxiEZS0VzecE4ieLkRpNjlMRJrfUg46Vj1G4fBTMyN0MveyEwmgX6ssEhpr3vtbJ0Tks/xm+
JFdgkz/HHimSTi5PkcCAf8IM/rDE8GxIxZJgx1ILCw/gzYPCPrRl+1RjmbyNAM9ATIbooHaYMO8i
OGY/EkDY63kGe0Zlw6xtuespiT+Byu2/apGANOexqwMdbiV2ddUVZj7Cqa+48LZQ6IRlK0yG2wzP
lmJmBtu2bj/XI3e4iHLBFJXg+DwUikTZVs3NvfJweUkx3CzyAdjuPR/q5zYsxX1Zx8UzBv0iyKDX
pKc5dnOOFJa1wGY4BB+adeGzbRSoGDBEwsihnNCxVzG0xQt9dgiqwSXfI3w01Z1hN6YLw+sudPEO
Ch0K1j1GaQJM9FMXYW4iMPK9N4nVOUbDt6Kro1sQ0AsMJkP3UIxDfd1sbbRHrE5QZTbCGZu6Aia6
mRidyJdiIPu5k+o2gibgGsiHa3YBsse6I4L47M20oVgEz4DxV7awFkIYO1Q0J74P+NWIAvEVIcMc
PNU1Ll9H7HU4wTx7RE4BwG86o0rcR2PfLsgWSTBXZJjVvSjMGm5B6a7uS2EDjqfCe4pNbN3OgCzG
T4ZH/CVpuQfrXhQYU/YLB4FlYA/Y7JCp0I1h9RkPcLj/D/bOZDlyZdmuv6IfwDV0EQCGSiB7JpM9
WTWBsciqQBvo26/XynOPTPdd0zPTG2ggM83KzmEVyUxkhPv2tbc7y6QpoQ2n5DYt9DMCtrrUuWg5
UfsKt89a+yebX/xPIMeyj5JJeXC31JtHhsWMUIqVMVnoen1nHuqyt3esJuqSQ1kwZOTUXCwjGjoR
Y+MpbHS51Sx5l3qlnNAdOi/der7D9mPoWuPzRrE8axWjTffU7BEG3fK6esXwo/JuwyN2a+rLAGHQ
uFB1YQdBxyJMAo2vPhaBH10+06ElbpaVV7BkE6Nd0xQiEomLfB3AQMyRNc5THJo66ZwDqXpM2yoe
5UM82sF7jI0s3uCjCspNjo8RrHxouupkMCpkP5G+cUyEB713HXjXvpemf0Z9gP7PbJW+Vgb8/mNZ
tcuwc7PK/dOxjKja103ZLrvY7D1GFJ6vesZtPBzX3nFpOYoCpHfjJ9bKpVew2Mj2lyc+M5j/WAw9
w5qv1Bqc/uc+GQ8tZrkzaKv7zrEkniQbJsDe4uCsx6V/npe8y6mm1vcJwtPYkEUKC7xWWR+2CQOw
DUfSKv/viB+X9AvTXPWn/3f14z8IJv8PSSQuihm6xH8uj1w+0Uc+O069z38VSP7+e3+LI+Y/AtMO
TBN/Bpkono96/U9xxLP/IYVlYfvA5BlAcvC9/qc8Yv/DRJtBSXFswnrdW27Y3/KIJf4hLSECJAHb
lg4D4v+KPGKZwv4Pqjr/NomGLn04NIZk1cq/h0OyRdmfQZzn7dLX9niQN1R5Hm9ewjVx/6icdQVh
X3qBE83BuLYbX40NAooyrXNgeEbKIvbM3+S6E9VHubhBcD8O5u0rdGd/OY20zChdnaM3u5zHzAdJ
5yw81SYcdVlRPwpMUO+GK1L1bC5YUR6JtS06wEvCPEOS9Seqcy1jRs3F1LaQInUAt8A6r5zSCesS
zaANzhbYJTffQtKlF9KxqQfdK+sPl4kLecySuLDJh+DY5I3xZOeJYd8P9N5lhLfRhalOrSa/3kaQ
d+TtYcEVhUmpptvp1PcmnsBWoDncxyy1g0vygbHwxtgfYAOLtZ8Mcx42jWffpmIxA/wZYJ++Ym7d
7M4dHasLtd8lZWjns2qjauxc4vBVluAKwRawaxHMzAgBlzthGrM0u4Jfm4SZzlTToNh3huksarcy
ni4OBmJsfgLTG3Bn3MwWG+m5HFkL53pHe+i7j3Zv5QtEgjvAYokk6jNf4SxV9tUjK/LOav0EYlzV
PzrL+BKMb2mx5rwaGNvewtDg9/sNyru/CdwifedfQyYfVfsQMyytjqKoGV2u+PeIiTGV+5QTFKku
HOgcuWTJusGGIsTpjnpZjXk3VbKC3pamWC8u1J5xUp5Vy9CcuAsOTHOz99Zfp2E/MEkYL3E7L0Eo
0rSzaTRt8aDn2ZpCAKtO38EI4g0Hq+81ElBtHUSPfyrslhTq3HTzpD7nc8lGEPLLh3Er9KSp2Py+
j+AM7WqrVps/96PDmdyht8W7Jc9H5uhL1S20yIFtbRPy3+yNCx7w0rE1rzhks+P+qpmRv5YQWaGk
O/muutiaTzx1HOtmGS9AvW3fz5GwKuxxrTkcVdFRmDV0zdRLhj+WzEBjecoy0/lVB9YwHxILK9g2
mVU3RoDuvGPIjdUJwqseNynRiXcousljm3oPns7la9ex9ybs48Y4KnJKT/40eeamg/x/93VmPdGz
dT/XYJF0CTktG7UpfnMWNj3HLQg1N2Das2G7VZ7cWGZeNeFg1stzqp31m4Sx9UL5SGY1FsjEurYD
9/9mrnKG0bZe6/Gwmqq8BFnQ9ofZrdiQZWZj+aM31uYaZJ7ZRFBjXN4x+ZhVSJan+9IsMEYb0y7Z
s+kbPmFOea7FnduTmc5IDT8BWJShrPPARBt9R5Xupa0tLMZTUi0FGQBl+hODmz1vgQt42i1lAOPU
oCpR1SRgXb4ZvxkrntzVw2lfzpX+BkKBEoKL3KnYnd+DkY9d02W+t7cA0H4sheJzU1PpXlUl0Ozc
sjprsxhfOnbJJptiKTgLClC0FEn7oQXSbzdugA1zGKtyy8Iw3B8Z0GF5aNjN8WqVeXeGb1U/RW4n
wXbtiWJ9pEIhtcpzkjHeAzdOu8FWyS/I2mbZZKT6jBs8ygOPR9G8pCAzx3n13BQSUENJJxIpgEgn
WXzXImlPDkWgE0L1r2+DpfRXM1ZjgJPMmdWeuZ5fR2XuqdArpnHrjmq6x+VvsNTJdrLNqKpieq6J
Wv7LsD67ET5jtre0QdlAR9pxfRqxCg/7eWHwy5DKrLMod1yZh2vMsxoKoJh3Nk95Vz3aVRh4qfET
m7KnX/2sM8xoYn8XDVUeoLcZFZH7Hteg/1Ua1KkFh/4eWorHM3mHNzB/9UOB18yusq2b5u0uGJIm
SjpfUsWUpRNVVsq3JJW+OUgXZvUm/AQc+zdXawNEoV+qeXDcEG1w3Y5uEz+Vi2G+qCXnFZX25I1b
jfNu2hYUh4/mEHsARaY9YmADojLOLkbGT0khPx4Ua+vyi+vEa+grjhzQPqfc1jZQEQsD2uEhTnMF
EMcxF41qtpCmnJQFCOyz5EnEhwl+Ap0/vQbL2qycV1Yabzpe+ZTQSFc+FjM8UlgsumxCItjqOpLL
yA9iiwQ+mc2cXACrB7+Y1MB4YWJQQRxTpjUIb2Uqt5rTDHmSpaDnvE/NAw/zahwHbanjPFd1GgKi
Bt3BNlj7uesbERyg59JvOQfNux7a6tEY+xRzZZOuX7kL3bipPEEaw5wNfhXxLfoyHIcMvFS7eY72
WwR4K4CWSVGQq+1ufP/2Imh72AD5lNlDl68LBULrOJ9s4eOi87WuX5bK7y6VCVAd0XLnaMM5R2vA
gt2ACluV9zOtHoJjMr5NSxWc8kUFDiCBsT5lpUnujPKhsS55sC4v42r6RLRnOdcR1pGmPsxy8H97
k7scSkdZ9zjuoHIrY6qKDUEPU7PRECVV5I+ev7HSOYmv7pLNy8Edsjp4WHxJK2pA2V4Mpw1+SLGI
x8wmxdjJEAu8vnyinUuxV659EsXaSomjBz6O1WgcsrQwN/4w/8rqApCp5sy0zS53fkKH+Sj79uq/
9zT9f7qaDjJx5+ozN1a47qoZ86M5oxxxxtALsPvqeXGzAexoAL9b2EgRjrOdPhmN9k5W45n2fnS0
xNcpk9v8p92QjaLSsCFfYTOsKkALwnBKEypQf70YTrFZ43ZjKls+uUyh8p8wqOpOjvkUyipZD3Np
ggfWAUpXUk+OFd68evtMVeCevmX37JNV09mgxcMTK6d+q7108bZWlnr3Y2O0X2Phqm/MAMmPpFte
DIuLFYOHQuj0xpYJ0Fy7ESkT5krp4WEGbjmLWiqv1R6PDKzkr8ZIapMU88LGcpdlR8tdxN5uY//R
ZSIODJdaL4V06p/CQiy8Z9n8+Ef6np6oDXK7vMo+aYsoySZD7oS95mAefg0vZk2VdajcfP6lbBV8
T2QAjW9w/Drdy8qqvhvhmO0jTbvn3TIPveDkllC+d2lg8TIqFQzLxiUp8ttRBf7YwIXWP8Zm4ZIm
QDlHo2ZVZXDS2hmfGxOWN0pxMz9PQYc2Uc2yXJ8wij1BSOXVSbQ0qhsnmJbHxXPIDHbW5GLBqRxS
wYLsMJnbnjXlXFk9O79q2PVkrkK7ifmYUIhjr1/b5Fj6yj/pzEgPcTA5VyapyQRJNlXbfp4Hhkx1
sQ1MdjRvcmqQ79Z15lehvWTLvkQ78rB8UUVX/pth6HghKsH0+6MP3Kk/F43xdM9BG7wgl7rfA7Jo
vVFuq6/Yg5q3Ycb8nCEMWCcnXwrmbpVXhGQoWO9M4Kw3Sa123/VC7YNiVGQ6Me0o96KULnSUPSOv
LHXdECtZu19ckEXEleXnbIg0nPc+7j7ttkEwwi5JT6pAIgCvm+bdSkVtMHxNkHwwZ1FwGOmi3xo1
qBfgZZ9FPxJnoUm9+Dw1xSx8nuTG/mDqiHW/wTbw1bMxeeMaTCGtGP8SNfmnNa8yHJbkOctt62jY
Did/PwsnODXsz5EHc7XG9S63inzZlQXm5Pu0Gh1kj8nwso3hDk56sOtOrjv+VHqced5IPKylfbVL
m6HedaQUz+dh9fsXzJFahCzasJ/TDEcWQ0Gu8gRu8qldOvXEs78e1nEl4yL3ueYjvQ7DA3MpN4R+
rc/ktTs726AqSAv3tyul3cGAI1clrZ+JY5d1S/IOJJgQLmOjuW3KGsPfZnVMrJZEKT240xyxtK/e
zMxBto1M5pNZBtXWYa4VYhv6mQ9TCjferWQbJIXXBhsnEYLxYdA/TWyRYMusnX7UvLZHrec2h03W
OY4WIzAYsJLenW5NmTh56I6G8SPpyaU4ZUaN1XdwSu91ckZpRjpzLaSTdqy+zML32InLRXsPAk5z
Vnm3MKWOTbnP6TLHxa5Kg4y3UKw/0N8J8OCnkFGGy9PC+14yY3ORZPeu084/G4Y1Ju1Y7l7TxDFf
KHA5YTPSh3YwiMkpdqr5dxk3y47N0cWxtRjzHsagci80DX5M3AABvFlVOyy3pp2JKDJWL8R5ObTh
ms/zz9lekMpsaEObdzHelgW0VUi80dpvvNzJsy0fZuxgSK/jLz6+8q7DlgbeZJnc7qOr1SFOkqKO
xqTYTSZzwg12kfJqk0pB5BZrmC0A/YQ8LjpiEww4NTK6KtobGdLkriwsy+2foucCC9d+oH/FRegq
XJkFY6kY59/y2sad5R6YZQTZLkXk+mbRjTiO+HF+lCy/jJAd20Nec8yvttOmG7FIzhpiGLbIzDns
u6+yDQkNRCQt84DnrbRl99M1mviqvFHspdUmb23qF36E//Um5GeFfFzbvupOTWXHZtQFsYyJ7NFy
65dzkAF/KlYTY+WmrsG/Ml/9GlonVH0afKcAGM9Op15xl7XFRmSSqb6G+C/r1ds5Xmru8dn7p6Uj
lwOcSx8xzdYPeAjMqG6lJE1lEQWjd+ZmTy0xXxuHiB5c3TrtvrI+kf0usIO+PXg99ixa9v6bPeLj
dW4zghFK2/TyjaiU4pKeF/PT7SczKngf/mBUW5/GhAuealTeuUMiH7NaoYwm8XTBYH1WXiB6zCwg
QTgOYSdc+dUNFDy5VN4mtfV0JrEJLb0x911WUPGO0nlf1+Sbx23mNU7FZpDpd4Ed/djFThkVqc/r
nVEhz5a8d0ujPpWi4wcaq/oBBJ8LlFCdn9QU7GHi8JPPbv5p2kKQQRsLCn3tRKTR6i2ypTjm2qyf
2RFn7onTgvAKkqiqOmdvpdr7HgrDOsRm65L4kx9W7TM3lUOeRYST6l2GBv7cMi48e6tv3gwd+sxg
dPoc2jqO3DgvS1zoizkfCHEgfIBDcvpaB8mKI51bTdjFwj/1eUPRRURTVoQjk91PkUt/2a4SuH4Z
nPYAgGptc+l4+wzD6qGOF9r9sc4fMAov94xHRbsRU0GiCXBWsPGnfv29ZB3ccU4FGbKPwH9ZYIDu
FrvGAdFpl5648MOpzs3IppL/XRhzu29v0ZxcJh8NzgELvVMMl05yiPbgwFkIcCfifVkF6sBKt31T
+PleE+HBKKVG/Mhl3b9S7jYIFEtXh/NfPcdcq6gBe/jjO0lwFMyan6YlW39YhZJPuiKyDeMau88a
2126jYZVDlPBcYlysxcVHhFbscW8sOR1IDmLX2gmL8YW0Pd7m7SdnTNUcYhyL+7Ggv508Nzmg5Cw
M+koxMGYwhNPWFj7A9rx/IihFeEI9oFJp84/msIxP2KzrKNiaNv7ySGlw9WLvatvy22KjohreDj2
Gi/iIWmE3OJKSk8189+G2dLBmb17tvlModt47nkRtkUhFawMRR2G2HYv6JHH9K7tlLEduYx3MjAp
79iDfcdBlW35yPjv2mgIiVQtej7zoZR0HfWysERm3KfmOL9AbXc7dtb2PB/Y26++8ny5UZkkm6tg
xsyJC1fg6GK39Ko5rXiF7PNsZXW/RU07LnHS/TDgWl6EbHqDXmXtXlfWWOGYzR0GV5m598rc5F1d
mTlI3v9Wq37rdUWmTs08UYZMyRSNQgjqnDX3fs26+JQGv8hcWegF/Vr+xm4a7zkfqqeGQEHKodi4
L5zG37rxxDYlLtbBKnWkiqRm2TIODwKk5ifQK+++FjjPNj3tQI/KTnsD2CTSM5H3+ujh8vlt9s4D
HlpQjtlYKcji5UG6i9zODCxCi42xm5twQpQVm3DJLjnKeUWbWqpVvkm7FD8EgS1ml3CTqCE9e03P
5JJ+Y0tYjU7v41ksv9a0cF4ZxJt/pnYw6AcC8TBgfM2kWPv72ljy6ZKMdUJNbTCNWYuvRlh2tzWc
bj5Qei+MX7PyIe+EfWjGsdm2Zgl+aLJswB0WvRt9TAubhe1YVFKrUDblsGfg5crgvEKfpuURkwlO
KKEtLr3/P1b4PyMvxW3hzX8+Vfjv+jtpP//bQ/v5/btL/nWwYP31N/+eK7j/AJsMPBHw8UXCv6V1
/z1XkPwfHKDS4uL9m638e65gBf+wJL2UaVmehezxv6YKzCKYNABd3laW2VCh/wXm8t/MAowU+BaA
JxY4qBS++PdNM5KHf7RYALVDSARySQbff1k9Q9eRqAJ5dT2y4yLDwvmmzbnauWafsX1FiehfXrb/
Dftp294Nh/5X+JMfA6tZ4JHc70rH/+sn/RcW2xSjTI0lsLeVhUUu95cBo2oQH0dV2i9DngZ3LBaE
AdKbMsZrXVfDwS8Cg3Z4Fgf+U7ozrLzaV3lS/kS8MUk2QyYhCSRNoxL2/cHsye5a8YlFBCUP90mW
EuqT0a1vXTSgx6TDyYTio48+NsnQaIwVm7oq4q3R5lPkCG/ZakVCEV6Y6cOyXQ9zmuT6z+DKztzm
6GCBzfWR8fV0eMNsHdtYzp8VqWPhkLn3eLWMAzHnAlW+651PU5jFRQCrtMwCi4EhvdmcZyapKabn
X47TM4XMW/ES8BDsySIdueSn7iGlCsiQJ/OUeI+p+tV7fncc5NheE7e3TmZl2ZEkl5Orwu0flHSo
IbS9bM3MORUVag117qYkL+iVEVDR4MkloNuFE/+wwDyJzTTt12QKjN2At+mYaScG5nHsuyZRxo4v
gV3w6AqqKWkPHdTynTKc6Tj6N3PRUuz0opaocZvhTPZhisfWVdt6auqtN5BZHw6NdnYLZM82JrSB
HR+yfxGNWUdBWjmRp5rkmaRP8UEpFIOKYzJyyHM91J2z8qs1D+tNuCqlMV1UmWcvwzQb79NEKkuG
se9gu38hqTbtVkWV4qzt+N2Umb+VZa4fKWEc3AnSGC5TXbZAJ44bWRjVica9uElz8LVxhmxijDKj
aIymd/WcLIEbzRWEhEmOQaltZjVkHHg5+GTuLAiOnbwZKZfiIBMj0jEySIdprpPdAwv75KZIcJt5
A2s6gB3SgzOyIrDGp3tf53n/kWaq3+uur7Doqj6EQjB+eWszb/1RL/clmAbNL88TIBXZ/rf40prE
ntuf5LfCw7XH9qzeV4KPYHmscbkoF9S4SCrr0SQt42Eox/lq1qgbDUbeaFqpFDAwX0kiJK6oHNZ9
rfr+sSgE3M+NRXP7mMyi1UgBeTGojzjQHvIl1VeEZ7WlvBBb+nJ5JAfWpcFoiOLSph2OXl9Dw9X1
W6Edh3eTsYQucqJHg/KPg4tsa01B+UL+LII75sOIf4PdnUkjD+NMdP6czO6xgh/ba61sWrslQEMs
EcxLIwi2rTL9cCYAMGoVGkBLuMg2BwSf956omACSuSrQBAiU44iQfNY69hga9UzTp8ulPGS4EE5L
4sW0xrO8kg/pPMEegB5093O90uyNlbj4lbvsM5T3yB2ldVF+cg04ZLa2717NoQyLBLxAmXo4j5aT
fi1Vm/wpFfLPbdJFzb/GdwuRVUASTvOhOPUPhE7JUzuO9UUDph5XPYqdwUa1KzNYM2zIvXlSpEF9
2rWfnmTWi0M/DcNX6xbNEyezT4pN1f60myFDZM5i/NOSXUE1xmNNyoGS+RGSPsRl0t6yY4Zh2YsV
4iVKVEZ+QVc3wy5O8mkHu+TX95oIAR0NrcouA3PGKGmNbJcpnJwJAjHwPGucQ4apXh/RRznE6w+j
01ObTzIa0/iN1De0WwJ7V8pnBj4bsud4nwOcZ+QEWv7wSFaTLG4SbPvWNfUKfhwrZMK2PGEsYGro
kDbGmbbsu2XQp2kpkx+1pcfxpu7zuU5uNdzsBDnbOSetQpsALOcuAYA5ebgO3a1TB78XMn7Vsda6
2U5Dr08+YYAfbhr0hzWrCMUcWcnI7NeTe02WxkpIb1D/Sat8qbcxrfMfr/O7DaRV/1FawUDFWl11
YlDITt1BG6ZFFDLBuD5+nXVT38SJW9pEz+d/dX8QGkHPLBNVfbCgrSANE/ooQIY6xhP5N0tZ6mNi
x1MR/TPqGTtl8cDoerT2ZTy581Fmyxjc1SURl78JQOyGJysr3WdVV86862uj/uz4KHzGsa3fqiIx
LqQ7aybwFRf01mr5bmWwTq915rbg803svqlx/MjLwDgDvs7xmfakDSX5WzIUTCTCf6ZGs5LXOZEB
4Dz9MzoazJ+EAJraP9ZiiyeuQhaDT15WZI9911VHwsnS5wGX3TPjz1lG5O7Y4n4sg+aPKpl6b5PU
k++6mZ0v8qmWIxy/2C/pKM/MT/zfQemBNcW2mTEHt8RdnLlzskFLa54BteRFzzeoJy+8/Wg17sbt
jEY+5bFsfpSubJ5cTuvnpWyaAwny4051CtcdoTC0LUQJzRdnjZ3DDUSgyaB2+WuxSj9O3lsHWeNf
O9ZzZqcxfzLw3p4zwjw2LsOpLcPUuA4zNoaZMIpt+mMS2WBv2jrF+loWqne2EIPipyQGRV/pQjPU
3VTfxu6Ed24Ly2gheIgVfrS0gyZgGeoxmcT0UTAOfXWMyXmueqs8BRZbO21nrq5xYahXDfh7pKrJ
4ZVG/glqrQmUTLfQ13M6EaVs92fLc0lHCHyDgBO7Ygg6ACNMa0U0xmzvfAS+W0JRPL62s6WZ/WUN
IRPIgfP9kpd2v10JunLgQDAvh6qs5kNmgehNSh2hbudfyLhTBAyVvCsg9ovnqJLMqMQKwdkdxEhl
hyh30P1EpRnB7B+Tcl6vQ0+6a0snz1YiMs+oxfz9PJPcy6Gal2RM5HHVz+c61jCcRGIN9sHr5nU6
dVWWnChniHK3SRLBBBbLF7cbEkIwa+73PaNo6yFvkJynhWWV+VqhiWat0wKtNjuRLem+HeaJKZfQ
kSxM7zyp2+i/WlQZ6a7tPupYrps4EwvxeDZrRkk15TpyMCc0mC8qy2MpfbWqK+QHLiCXZ9RFuL2T
BDZvUoUWl7qb2v2dmMe51R8EE3yyjxKaPT/Z3kc7Tg5jwTEmSwVI4hf1JSSyhSUl0vMyvhvJ0jwU
bYoGmYP2Rkwm/Ptbnsa6X4hdYNdMHuxZFUeeYR4U+ywmGyJD98I0QZA79jh2IxKRm4S+QCSxhrJG
Hzet5aGbTbs6VdUqyHUq2ewjEqPdjE6RnRkQ5C/jgNBsk2Cxxy5aHDNiwh/GJHFIxqir5fdol0Tb
MEHK3v0+iCNtCPLRgqzznBCiQWK+gLAot1XpM62f0T2zeCMYFoFp3ALYMd6nYZbWE8nScakOYobd
JOO+3smm1Xea/KD7bPIam/o2f5sBJ+3TSOONRmxhVgjiuAHE8DMQENuHbrdWceBXZuBFquNhdEbr
19ApB2n81vu23WI+c9okJJMmJEhEycym0bZH6x3j8ZSr4K7NfXTJHD92V9Z7FWt1NwlIVhtJ7XOd
4r7bE7NmnHBVfUKTB+Q7ehAHy2oXvwftqWvOqcjt35eMv/DI48LCSBPlrqkvgNlUb8ZovtWEYT5w
wTXnCij1HAQGgR8uifAuxiYyrqv4jyDud5tbjnedRWpTQHsDCPFEzDAKqfFmyJUzBA09ngFutbnP
AV23XiGap3WScK+AW849SHEQpsE6fwoSyh8XTvE9Qq3JIAnjSMkgLhyK7nfrkr1A9lgTecKquTlV
TNG5WmAr033cUhSkk3N2eIe22ZJ7hJCZ1Wtte+5WctGQZtRk2zKNvctCNOybNbT3jY00i9bf7YvK
7mA4aG7uWqHyM2nAGGLYHDUcCEukcFOJDaIjllsWDRlohT4XVfGKDvLbiP1rPyKa5laSh82cmzvc
YdPRwBRgtehvFX446I9+vRZNU36NSztcK6qvDdqFukvY7XDAOj2dPOtXzuC1J3Nwh5APp8ww2DHc
hF5qnaIlWcqdxYVEfLFakiwkSxrYbVjC2AaZTo7Yq07JIkmvVed8TeVFedAp0F4sbsjYThGutUCP
s0Zydufy25+YlW26cXphwTtFtFZViDZahyb0bQT2nj+qhYo2bpV79vvBfXSt0j+NZj1ueysj5dvw
2ZzAp/08LLcYcqdqLUpQbd4eQ7DjhUcD7bOIKjEfYrIn94Rsnvy835NMGeHeQNgaeaaXcNKiiKg6
0hOSFSS5nc3nFjdIBAlf0WdVAOuWV1q7DAyeGaAgV6PMW5elwfPBhbdoTGqI1R39UDApIJIhK47x
WnL+QS28WXFdGWECbbGtusQ4J6oJPkxRu3vydK13YmWZbTWqONXzCr9tWOpSGIK0dmB1RmGZ/ZNE
Jeddemv9RAWcYctgcJvruDo6ujaeLMyKT/na5JyVgumfq9vkru2z5JKUzYowXU9flmXRQls1VIvb
V9/g9oLBXX83N9mZDVwiWsz4lzlz9zlLuLK8PhxS44W4DkJillFuaqa4BwP58jjbQ3DB3Bg8k/Pc
RxqvSljhVYtGTztbEoR9MkfrOzPRZH2nVSRNJvyOSxdplk/ZOOfUCbr9xADNGJyE8pAoZuPYOfaB
pCfjZDJB3Gpr6lk50HcnL8ifBKCH8Bny2257X9nvjTlfBoKHVzat2b38kSfTVU+mdWAZwTPxgztl
kBhWtoc4t27XklR43wkvozR8b1XwUZZBZI/pZ4uwERYtMJaCsXnK5qE8BD3hxlwz+s7NJ5vnuK2O
gZ+ffZGUpJK761kylN5ilS0A1/29u8Br4XwsGCTo9Dj1hdo74/BsOjju/UWPoU1qY7SOZFnycFTy
iDNKHrCY51+OnVWEN3lkJGFEZaI3cEbapnFIqsyJRF+Ye3Y+xLsq9+LzXBDLSRhjdwgsOv2NbjLv
LlV2vPFnL7rBjUcWqxf71DtaQ3K2SvvAxh8WijEyfq1rr78zXc95ZZR9Qw7GPmB7HOThnjEGJvs8
Xvwh9DHnwUmm9ZsxBUXkO7Qoq8Thjye3PoPvjc+MXR5yYYKeCb6epCrCZ0592fzW+F0uZb4YJVSK
SZiUz5qK2o8aDPc7JKb6eHO0hsyB88jO2+XChJdVL55tfjn8fkQeD3kfeiSmfAyG3xxHotge5kEL
sPARE5kXgLgV9XbEkrGTYx8ODrg8qyw+HDTrJzy7HR3OHECXMxog6NKQ7a4XBBpNqcaIO5m89CQq
AWFMwXYy2H+wqVtxVzLJjGQtpzu8nP7d6FQXlbImdLV+uw6wUrd6pyB4ns2c3AznYUmLY9mnvyY1
/F5wJDgbs64oxO1mZnInVXPoLCAPrk0jnEQxR5ltmNvKKCeA2ZH5HcDvgZvrkFviYHldNLHwZjJ9
1kpA2PvQRVp55Zbb9rec7HtDi2DfeetBGNZZYAXaUGvtkKJ/DPak2nB2sOU0XAdMqszl3omTH4Nj
k+RaGW8QV+JaZnP/CU9YH/j/DKYoWzwaiKPT0I1RohjPc+BcKod91tlshl5Vy7sG1mSTCfuDA5yJ
mNmIN8cprcgg9i/yF+ut9CQ51NJnJMwmDGrosK3zcKmIITQ7ezNyNW8Cj7T1fPAhW0r5J/8f5J3Z
buRIlm1/pT7gskEzzq9On93lkmsKRbwQUkSI80wah6/vRVXXRYYyEYG+rxcNNKo7K+UDzc2OnbP3
2g5JMFF8yNPRj4b8sbaRV6X4puNaIeTjAN/mQcVA3NhlxfSiVS4aqklLN/GA9W6VQfl74JLdbjMz
vkkCInM80d0NTUapx0z8DqfCUwK5yHdGAwRfplMvCjpGjkCCZbTxFikXNttYZrTyhHkZR7vFGK0K
HNFJsLaY0xKjsrHxTTe+JdTRTM+Iyk5o/zCil8VDn4CtVsUx8FpvH7f9xZ69sVm3fe+t+1Lkj2Fd
ji9e0R2TGTxUxoWD8e24txFh7IiYlsUmG6fyEHdtv9WIZDpoIpL7tBXqrp5V+C1MBXpKx3jlyv9o
NJk/3OEohcL3w6HP9TjEXP8Epe8hojO0KUZ11kg6WBXwoLf6iHfPlFnC3aS/DXPaLX1fVs8G4qx9
mkwILGIUpBtRET5SdAqIMmLTs3TomHFtCLbKme0HkiJiP9Dn8aaczZFeprTrg20n/brRxnhdeCN5
52hHPNLgeFB6uKskChJHOpO3qisjflLWaF5YZxs08efJDtoz1NQZn71O1+sACNvd8O+2oKlN7SC5
KW5KQ58Qvc7O92oOWoQIw4MXJA+5LKOdgwl4hyw2fdYYda5rq7nrsVuukliPNynsW4CdGjGVnPPU
yTBLk8gEwJRV9+ABUXxQJ0yzgzRARyx2mCs8zvUwfEWJPtI6QDxkY2+7yXSZwhqLNFrEWVrVyAl4
ZvthNNyzE4IcXdEXqpy1lfDfg/Ov1lFB2jU/ih8OrS58tZO8K+xkvCZtWIt1uvTDPd0BH0mSQSpl
+IVEkfTcusRa4NAeq02LHQXOJ5JsZmLTmOwGOH7fmgQ4ZZca1rak0qSgSnvAB5zI8aw3yapxKqmx
L0ykC3iWo8KzsqcTEG3tmdgBEIkVV49Nqwnx6Fn40zHJpEilsjJPzoRyhSccTmKvBqGDZw0xoWIb
miNUSLZzcQw7BmfX1nv+FQN5UtwRImXI59jLrIPo7PqdORulY2C256HhwlRohn6VhRXeanZp7Oqo
SXYIeyiACIYVaO8ZC65VlVtnXXXrhuLPEJ4kdIQuxdlrLPnQ5zI84kqTj2z8aKoAOOxUWCNN15mY
7iSJJDUYrRzVZVaT0sDlv+LoQ+M/mbWizVb3dMLKSUavrs1+ARNqSJ+kcG969KU0M4fiLqlL/Juj
+TPw0I3rhigjcJpG8CPI4hxPdvE1QewNR6y5yr59lF6q1mppePVQ6HC4ViD4nPY0jjrLFU+E79qF
2jOtLF4rK3b2LkkgPrp7faNKdCMh7UEEIel8p/dqRPyb4SudHJe2WSo7flomDTob2EROml0ZJ9XF
TcEOVPXoICrsntQUodKTzRfcFDW21JzQBmnZl7kLYwiobf3NJHcLdVfgDDvD6pF09aaBHhvjYhoG
j8QHeQf0WpQ7Pb4Gtz+NYHbZ8MbkOEnnPab8X2Th3XoRxbITEFiCjJV4DWTZHCYonsZ134nibM/B
Xe/Md3Zoe9fIcQmoU1m1LTv5vWAiumqs2LgZc2rjJllyIBCivyro2GTIed+8Trh7GwEWqA/XBPGO
5gT2I7q1PMiSw6ik2HPqcjWWx5iq6SnJhHWRguVHbkF47NEB7LnYwXFrsmsXo28eGUxtmfCeBYU6
HkSF1pSu5EbJuT0Qta1dcPUtsG/zMaoAhhRpznilQSURabZa98Ahp4JIOCOrFmviLbJ7/SyAY6zc
gFx7LLhcitPUozNkp6euGO+FxBON1dzB7ozETwbewzR2i8G3eND5EaE/GLaNcrwNDN7HMksuEzZX
P7LR7I/Qz9FYpMJxfJLj9L1dNN1WUuGwF9IaNTedp9iTB+bqJ680uoguQGOymAc8xsJmQxaYbp8m
BGU/Ssuhawl42qewmHm8VnsoWYZrNJ1lxJU6rbaYCJObLmqDu2ae5+PU2e6N63WZn1bJkxXaV7tN
QEuQCmMn4pQBDnXpdu9MC7YHZN6rR110iqHEN3W8jvPmeeqTF0uVNFqhfft16QCHvQatitYzA5aH
Bt8dxBMAK4ZeNifsfxCGEeA+WwRj7NNmoKQZ23LdwfIMZ+Gs66gy8TBW2i7vSLzoryOzpptwiJJj
wm/tNYeHEviZU1F2dw29F+grNUFY1ln0iL1XIFLIGam6YwhYcj2K5iBs9tOVaTHMJ5CEajCmWgAI
MnGc5FkA5tMydVqOEDGMOvd4jG4un/U6MpcCCEajO2bFG7GLaJsq6MFn/mhyBAj/1Lm0qDJNbkv2
txtvginja8T2fEcikW84D4drPMzqEFYFwl4MHfqLFTfaI/d+ovdYys/oKJQ/0mOP1rjb21v2BfAp
YW9m31CYq++QErnX0TTwFEOhNLVIhCisOKV7a/bPVtfGt0ob+RlPKQ+BGdMQXQIgsJBsupgyE9Oo
94hupj0giZ3ZrhpdfR3A9zz1kYgI0HDoUxUhSho6maZJ4kEps9sQhCRwuWz08FaF+TDzlcRgQkzp
xE893rAD4yjKuKKX8ZYbtbl3+jxGpFxWRKQ4yOEIVxjUC3yL71EOI7ubuu9cy8FX1DERIXotv2cU
fAzcZhpWuLlpiUCkcGGOdMj7m5L/WcPKbm8mhNaUlLr1QuYWvyX+sd7eaIbdvhFGAeSmlUG5rXpl
/UgoyLezMu2DG4S42TNaqwj0UUErZsJ4vrttFWfWtbdNdrQI0by+qR2eHlo1Y69pQcP8CYw8aVfe
0ukqVpSK6iffTr8tuhFhOMLtvT429/ZoMoYkraYgl87S/ARR3w224fGBzlq0JY3Tn9HX6L6r1Xm3
gh1vY/TGNh6uHUKl1o4IrLeyrDt8JJleH1uCG59k54m1pCu7J2XAuM0GLW19J3AHRtFYZ3H3UVUi
RNIBpHPwjfGWieKuHljA4ey+4s8Nty6Q9TsWfr2ZNa8/4MSSt7qKXr2Wjh6uA5mhLlRfzQpUZ2uG
9QbV3l0fKTB7VY7oVAcGGURy8u0un9f19FLF67TV65UhywsTQfwAfS2ewqpeqyltiPbAKwPnW1+P
Ydls+qQf1rjInFWQYacpsP2M2LL23AKjbWtoAVZccMxOb38bgy6aNknh1gAgVXOTuDS/Rlpg92Ya
kGiaAFZ9ZNg0b6MoCa5DMcTbbtTGr0EnfhJmavmpF5i3RdPkz0XM2YGiWYfM4MXXHnTUThFumPuN
V8PAYIpiz2RZY+yNaUty60iT5DHq9e7ekQx8NmgLQ+WjboxPlocgkGupKcC+cCZbeBzxT4+LG1ig
N+/VzgQA0kOcYaoWE+tVMjo1lLNZTmqHi8fG8XIoxQgC8BfU+vPYVw0CYkA4ZqeyZTAr1tCk1IaA
mUduZlQpndnsXIS0N8mQkEYO0WqN0+Yb87fgRCGSnDOqST+vudBMcW6frIqtFs0ROk5mfzdZEllf
HIRRRM4N2yQ2pn0L8QPZatWcqlnE27Rv9fsIfiTxqJyDq64aUGFStdS7rhiCh0iN9oV2JR8lYSjo
1IV5YjQt7vhWsXSjtapuRNBbPtO1YsQT4khkFJU7n0ldc94n3DfZjukLd0CmbuNxaAjxcM2Z1UMv
9TGczf7W6Ks7LZzXBd28m5qMtQMAd6gdOtmHp5CoVH1VY13kv9AokjwrkSIVLt/rwRbFarAZqTil
0f/IkA5sOy0L9lgLeL2yreROUCicwNPus3zqXlOFjGdDiPbgrEKriJ95vnAi6mQ30kTg6GKuvgpz
wbVtDNZ20sKyQGgYoeAHmCJQ/GIE0dn9FfM7fY09DafbbPT2ZkhxJoC6UadpHm3fhY3xtZuMCe4C
52NVI3HvIi4GjVGenMJqP7A1HDbMzKn/senF9x2sXdrFCSEJRsgO3ZU6lh+CYwfWb058gMis9Mes
5fFj6zXODyZw3tnqxTHuE1wF3LfRB7pyaAr2QpH5DaK3F42B7G0pagSgRSFYFUAC9BTbx+At1CLi
AlK5QDtoBVMzfKcHys1D1sZtKInAQBiEcNmFDcDgfyS5ogAA1eIhPoU56F4EdQyYtIXJ02kwdcbm
mweQ3cYDo/QT3WdOG5VYyfeAZiXXBPwsO0SUCVYqcmUoY+ovNIa+xtH8NoxexjFuN0+GBP0d1xbU
DY7T+IVcj/lLN5FWyi6kT3sMwu6Ku0bLbUrPUAdwZ1mHXqwWWE5xdad89oPCtW+7PMeCgsMfVW6q
QD0YLqS4NizNbVEBRA8H8jjwLA8dCYMgMz8uOCltie3sNFcmXmLVxCXSvCREyOdqBM7NkebutHqU
19LU1dkBp3Ps2I/uEXloKMkxbVO0j3dgkcw9PtfwJQJ59VSnuKgRIWM7MjIdMYdmql3bL/1xLW3E
JZEDfScdWxMDL4D4Q5Ouy9hCTOSEnAQx/J8coBFhzWIgShJO+VknNNfvCnhHq2IGmk+0gpOs7dom
dMlp3xMRY7ItA2g9bYKcoUmzeSMN8ejQ2/djXUDaZzfdMN/Nz1om7yxVzNsWbAX2uNm5AAwnqToe
xzdMjmTftO6wGIeCoeGKBBADYXd+z5AWRpZmjncMsO036UbFSZts5mqFro5JQ4KmH4YZ7Ocych/M
iSnjZHQvLX3oJaW5mW8MWD9blDTNjqMUvQvo/dte5vdI8NLzSM21T/BrrM3BfUagGxGUW8eUku6Y
PAHsKu4G8hMRCPdm8ox0lRmB5s6Im2JFPKsx3zQsCL9IA7UArp1DG6W7KB+io5UTRUqgh3tM8GRU
qLDXuCrcPXrj4kAvQ/lzXOX8IsbhCBh6vs5JQ3+zcZycgOcJUTDB6jf8JIwvmm3cu03w5I3VcBc1
YbF2Am5xKareNfmn0Tofk2vEnDBGDbU3XaA2eDKmEyJTOq/ZWFzSEk150aQHg3L2ig+MvgGXKJg6
OamiXJ6Mmwqu0J6+33e3rR5NfTqFMBGpxKxjUecMbXQ37PdJMOovEaD3bZvl3s4yzfxJ9A4bV8dM
+lAkxVGUdn+iJ4AmxLTGdSxk/ZwR3HMDiJD0g1wCv24YVEMQsQlhRK9U+xBlsm2IU34xOiLrKMm4
zPWaSIu0owEw9pPUV1XIXDYy9ezKNk0qGyP5ccPJUW6ZSeqnXqqfVSPo9bQhvNB4oLWHVbK6sG9Z
Pvqv6YiegAQILxwfVReOF7cIhj0exvkeiWW2meOAlpQnivua4uJ+6Ca5CaO8wkuscAxH/ahOWO6I
8POE+26PRvCsYJSsoplLKR1pyEX88rFJM17yvhRxNq2ruKRrEJXaOi1kik/dig7JgCY6jxx5FbEd
X4yipVE+R8Tt4Qvr7ugNRN+zgXky3vCCEBsakcgdhH2CnWS+iHQY2c/mlq7haGFUmrzGn9IxQ7cV
M0+wTO97HXgmCRsi/E6TcHFpLK0oo06uMZfwnItAbx3d7mVpBX3RA1RZEHv07usc2PKZ7kb8FX3a
fEtvw9iEXqBt5sZLfkaaKe6n0WZyEJTZY5AE0YaxANd7Mjdxx1XOg6ULfRf1teVL147u8SRDT6zM
Pjt2UZK+k2OjHgqOVwYzU3Bbe7VloZ3I4Op0ibnRCI8+9rlhbOuWs4bLc6HfZdk0fKXNYt8wsso2
bun2uF4Gs71lYmA+5D0XcK2c0oe01N6StoFU0HB+An45kpfeMs6xmtuwHsWrRRrchpszCoyixHhk
OrGGMIhcua4m/BufgoYjTVP3ZA5QAMqhb9ZZ4VTbuaGRUSXeAGhOineZuMEJhU5VrHCgw7aYgj66
sykOCH0ZgyPWhGw3NHXOsuWqz9WZbgHTKHk/ABO4TzwMXCFCgMciiB84Xal5LO7SHL/GvsnxM1pD
lJ5wIo1P9oDJE1QHgyctg3MrKWvX1MjpF7iNE81oLYhelOnQc/OyZKDtQH8bVj5zIdBG6dbRDfPU
Snt+LTAf79yI6V3b5eSMc+X0CfnguGLW90A3jLxXy1nUfUvvvdL79h1xzQRLLLQeZrIsDgrXks9z
awmwib1jlYKwUozowUqF9aozQROTj+7QV5hsDY4abXOWJRPsfLyAYL7ms+hQxnVq23uBu0VNRs2J
Y2pXMLp5aBWhkaFqrb1uAkX0WwKqLS6Vk/s+k2jJSTEXT2nEd4Bf3MBPZ5NwpYbg0iR9c2sGbXqM
CO/gCo9QENiP6fKVi59sONqNCqa229hEpANbgk3Yrf4PWrEkSWQGGlMNFr5Zt/xp1WWwGa0g+5p1
U8gIBcnwk50x/7BQX92pIkiI8mvVxTIYutCnRQybKtJgARQV1w818//HCGJSZ4UwkWz/Vgv/mr8W
/wJB/K9L/L18e23+RVw4/2f7V2H8//1L/9bGewZAYl33bLZ4wxHEKP9HG+/J/5I6DGDH9KTtWM5C
4/mPNt74L/4/cIdtEx6OLhdA9f8wdxDUc2jZHqp2C1k0f/d/JY//ld2NDUanN8c7g/3Dj8rlr/0C
CG/xkGKMx9bEKIlkNit/KypQqsYidCDlg0blnL13Nr7E2UvfmE8hHiw14ddKX00Imle9WwBYHQf8
YkP8rErSNv7yJf+Dcv6zgn95i7j0dcwAzkJi9j69RUMF7NtpyM8xB85Bys5y6tV4HSPvrOr6FSPy
xW77NRIvZLI2tLv/pzdgQnjgq8KF9wkuL1NRuYMJ4y4IeQPGPCq/IiWaYLdgQysd7XsQILv1uiNq
336VCN7H79/CAoH/i3Xg4yuwXXy1poXfGELTp6fEtK3JsIciGeOeROv+sY+sS1wX59+/jrn8ob+/
kM3LmPQCcCf/+kI0qyHvTWW9K0pV7ruQLHdkzy8lfb+tN3FpZRQFFtYmxU8Ng0f/RS/OGjcBXDnF
mWJS2xgIEV7JCBs2zSj1eyMVis4QAv+FYAI4opx2DYGKG60ixSRNiba2bIJzml7hqILktw16eYdv
n40r4IucavtrG7QHvWndNQKR4BgWmrvSZIXE1sLoPgVPWLJZrfn8WArXQtI0jJexTd+FMaebVmVv
xUfqUBNcZtf7CYflHobsl99/c0t4wa9fHD8JHaiWoDtmmu4njL8zg24BF1LtLCNwN2DovlItrF2z
YViBx9k3o9CjbwAv5fevK5fV/+sLm9hrcJY4C4OLbeTXJ5ZXnlNxWCU7uE7UHx1jAcedu72UEIJD
g9DP2AE1XCLCOeUTP+iiTUAAuAUPNBvlJovCbe+2kI4wlq+QwIN0Cxyc0/Uw7Qiq73zXkyZmMUwe
mz+890+4L5Y1NDHA6y6r2rOdz3kTeu+ZuOKijAm0LNa1ZlmnMGK2aCjvnptnuUmdjvDDoMsvFYpN
+FUHcn6OPaF0qyC3D//egMwRivTZpnO4cltCZT2ND+1MfBo7M3DgGfP337/vvz9rE4OStC3JhkS9
yqnx11CFDjqh3uC5BreFWR7VNi8MbOjfX3RjVwC++s7zNTOTf/p9/v1h29KUnk3TR+g4rn59ZS6F
wdBjbN4FkB+YN+Fw9xiD/8GrxIn0eUnZBsJzOPV8ODacX1+lIAHd0OosI1nQKXZOU0P5CqK3P3yJ
5vJnPq1c2/QciVVKkAwsP21qUBwch+C4bEdL/T1wAvzaNokLq5A0zxUkXD4bWOJ1oDqG9GJOMS9n
7wKM6rWaE64qPayUBdElTOX56As1vKKk4GYtizxNBhiPOh4Po3AfNVsjo5fpLKZsSLJD7zJb7jEH
L5hwvD3dBsiKpHi3dvrI/mYJutlxjfeqpKsETccSZ93hrSU9vmsv4N83a5dgtFnDeD3zn+pxBNUS
AhKH3INCt9fojnuVCSEXlHmHHF9WA/CxLnnL5/jNSowrjvTgGFC3ryDsvjeyL/fIh+n3ecVeAxjq
97bubbMyfm/CgFhGvNY4ah2mHMpjwQnWdxG2VOdV9gZKaIR4Ez7VczVDZPIALJMmoHUp79u4FrGn
7YdI4TqR3QswPM8flt17ogD+An0B9bjGfGkc8XGlJi+WeYn5SqXNtky+/Tob4rc2HEGG1rRAQzsD
JSStbwXqPj9k+nyvyoHiIZ45iBE5oQpN3gkxaVE3du4ajdi4woJz30gcASmn52Bk53Agul65bNxD
T55nygGyTkbGT3mjvTg6qHgzgIvuRQYiOAbNzGfbaMtexiTXit8Mk8eB/Cv2NRqc8I06uhtmfoYJ
95AI77Em6pKfYcOANljkiUytOVgUvFaDR4O++t5GDICuhMYrbCw4Um+N3jZMWZg6ak7Wbjxa9jRM
2CybOqGXmdlb6J7vBRFsKxv8O9OJ05yn75mDT2psp5ahNR+0HXILqjRGEFagyxh/DRTggoxc+oIw
ScLyTFRbPbwBRDot3HmOTBi3FUYSXmpS6bsWaqxYnuzkhO9w3PhHi25IpR1zZuR1aPdyopyD8B2I
M4uAoTJ0n8FFVMTsDb/AKko5qbM5f0MJncFYEcDilOY+tDLbzkn0ZjNr3Ec0E0924DzqHaPchvL0
jECF2mp5MFQGl9ZuAKUJDo+PtTsNLBudK+aKvAYizKL4zWVOBwrWuBp4iHboKd5c8P9o3eM30fHT
+Fi4zcz7DopxC3URlEBu78CmPVYehUxUIy76+AnkrDAhjCvZIXQ0FcWnCVqLtgIPq4+XakPj75V5
ZQAvZQUhgShWrc7PpepLVKoQP86DrmGWHILYr1wWbYm07OON83apYno6e/DGp53n8bml1bdfeg+E
dd+hWEYVwU/NiaqbklTiTax4dkhx0s1cowHEXb62crlwvsEUJ+iFyqEM/SQNku3YBfg12cC0dtmw
HMyWM5+DpYvEZXnASOiu9CdfCC92V8gH3sGkEDdfJ28f2wWtqfdupI52FTtBkYS8AMa6FaQez6/s
CYGA4FbZD3yJXAaohwDI+FTJzkpZYu8yJj5npUuvrWZXYqNKN/ZcvSCPPH+cTp7OKgaT7G0tYQZH
aSfvyFODO/SS25wiCSvmbG6atqi21kjm8+T9KBa4uCFZuSRIglRu46eP7ART4+8q9trULvlCRmvX
ONkbM5uP7YxANra8zL58bEo9glvSU9uXZOS9xb19Qa8576HjXrnvFLsY2xOyiuSNBAYIXgYdgkzx
cD9uEx/ZCDZe0s1y7Nilc/n4hMOUvi8/iTq2rstR4Njy2lVsMB/PoJLeJc5JG9UJoV2lwxnwiIXV
a1k2hQu8XiL6LEXzoiemOFtN8p5WZGw0NFNII2Qxfux0rslmYkXuYznRUjXtWduwmwy3hNJ3uOn5
/ZJgTXiENvNvuWAjs7QNjt3ydEaNlWfN5XlmVENXnt8hvrvx+LETQ8alELPDbI2JijPDpMyaZvfR
Qco+M0NGNNfM7ohPk39KH3Jk1QP7wawzI3HL40vpoZp0rYrjp2VHYA3z55dzxcBEAPaa4jm1rato
gs0UpdPOIMVklU78eJcVNjJGBsFFmc5Os1Vk9a6GkkXHGKrys4pllSt2H1fxaAyPgmJ5um3SvMSE
rqwcnJAQQ0Wxq0P+YI3idfux/2bL7hjUzMnBdBgrzSvLfZ3QzFjOuAY5xiqMWNVWzw/IoZlr27xr
STynv4yv1h/lcB8zpuvp9d+AkJ+e0CaVewj1aNAjiit9TN8+1krR5W+JG70zT3sM9GTiwMAQqBRf
9XLaBB77YtrxEwiaLr0ZHTtd25pNF00BwEYIAZaFHIsVM/N66xCawrNt4ssAPhXPwVKfWw4R3HW0
z6qSA2/q6gu7ZH2Kzag7YDg1Vi3AKZx7EboeMZMo2g/upiyxoCR1R8QhcboDs2FL3zfVHGJHGvuG
ctqMt0rAduhIA9l5TkSpMcbvZV2+oIjpCB3ARqB56fyAAQYiE3andVh1D0lRhyjDXJhOgRDM30S8
InunoCI2UPT3IlgbMOL2YYaXCMs3o7hwKQ0qVR4aK3LucNx0/sA00zeHQGMl1OXBXS5waUSdXM/N
xRCRuXXMEUO1F7712iKwdSBAKZJzfDnM7ZaY7/k0Y+lYkQz85i7XvNKp0nUkYv6XS16nRS9w7xEk
eSFGMF2PBdR5oHjdBpiK7reoC1ZjBtxNVUxP0Glz8pLCsFay+ZnMFGydslALARvf65BlNhg8Dp1X
v0DIdmD3IcVTBkFF6BaIRnGNdlehLPHRXQe8PAN7uGJok0TP354L2tFC9FjPLEzg6hvDz+Fn2jXR
Pq/dABENCDAuUN8r5IRJOH3vR4pnhKNsWhot8xKTBE0zhD6sBsR1KZpzcMFA0Blgk3kg8TnLGBlE
gl3DaAlAX0hkFM93Goo8DYsAx1G/JagJCHHIMw2B/Q3NiVjVkkU4PAl9ODZ25q7ATJEk64GUt1l8
zkDbXY5CbtJee7Vwn7CehHHoZvMapgkhGo1+bjQjRczMlqknPeGpMVYjRkCwkUZwbu5y80G7BAB2
ZluK+/hdjKWHMID6SQTsNGURTU9GZxKV66BoHjJOIBOQ8fuQaIDghJs9FzUhr+asv9AzJehBtC9F
QIsjT+vmeziTaslJ3APbcbpdWlIER0yaGH5QMenc4ZALaQTjfOzjsMvPhs45F7I5wJvuNpoqvR1T
fv6t5UZvESG+dgx+pi4WIg4ZcTVGxM0E66V+k7Nuy2WJcmHemcPwhr7L3aWFukYuKwZWOs3jAvU2
gfHvy/tUro5bkc0JBj3XQk7rlUeZ3Yvojaj7Fz3tlw62fm1nhLikerNCo3Yk6ydCD6Q7ZCo6EJqz
4VxN4hsXyHqrK6s5tagHn3ot/QqP6hJ2zq4mWpzBPZuaBA2JFIF341JVMcnqqK6X7XRGFXKDbidd
QzNhNmS5j0acvlVMFykwxrvZGQEn1YyyGuoaTXhnFDM290Y3BkA/IJkZ8wcP0K2SCDs6mfFZ4wZ0
05BEd3ojqq+xzndfUCYzKXAOmckKw8Cr7dH5lxRYfKd5BnKK7Cn3GeBNcwq1eHjMCdRYdQ3LTS7N
qzjEp5OmkT+57GtBS52T1tF40TQDibftLZt0zm0FUze1d9vNfFhqTDmralfESMiQH+2zUOwC+vAH
4SXvBbj+kNO+wQ2xQYB1CZnwwpniREeUghSacqde1mrIMrmQuc4tj5qAyzXpYgZmHo03vDKXM7OY
SsC2y61lHmkQwR1J1+QVvJQ5R48a+uE2JK2M+Sye+KDoil2H3+040ZlEKpyNt6ndpfd1r3D362Kj
hTr6MYdEp4wbPQ4l1iRsseIco0nxCRxHVed64ow6mV1fsobHyJi/kfAV/WhidJB0LbBuAxXyvWXm
12usJm8KgtdsAAMdN/m7TiTHWx6o4pxx6n2sfu6bG7Kk4yOX1XeaEHyqzL53R+CQnrzizuKqF3By
JZX2c2lUWeZc78leUzcWbXvGCssZGLI++1IqWAvcvJI6rK6Nx6zRBKboRwJuq9SjyxSzjdGMTDe5
I20/tbqjBpaHHbciSXueNyaQ0dWUudSrJo8j1uQtwCUU+GguVqA3xdqL6Eqx2jnisGn6qjCvH2cv
w9yWlRQ8/v7ib/1Te8F2bakLCRtGt5f2yl84KCpRSK6x9e20gksn4akE/3bdS13RFEz0fN6iACI3
bEnl6uYMgZPMibVPq2er/uLW1aPuxoLfMBfdpczoHV3bQP98TFV4p8txZiDpaHuZNf06GgjbqBiO
2DmZ09LtKIC7EFIu5+DHHQlPww8AtBHD0k7hJrevIp3BWGidOEsYJUe7GvPzqMGNtxTrz3a4A3Vg
5LgvpZL7tUXtpWGo/7iE9cJw73v3R4JU7lQQNARBeKkCIzgmNnfetRW6wSEVYvzft8iZCBgMCpCX
0xUwPnWkkiyOoLZa6S5ouXK4zhAcYXRre1tSdOWp9Rx/bLz08f205+eGgML7Q4v6H5pirscwwwa2
yCzlcy/PcN0a22ja7xKHSJtWztG+baiTIhv7e4qCEUGv0n2VxcYf2lUfub+fGklc3z24QwYbBr2k
XxcUv2zR4x3ud249wstnU0dApon7eEC/bM5V9a3HBbzBG4ELGDtxqXL14CGLmoxRvPx+dS8duE/v
hSfgCMdwHdwM+qc+cC9BmUdkZu3MZRNYGgZQximh23FhjZlXjNl/mk/8vWdv0h+1HNSltJ8pvH/9
+EbR6Vw3gx4LpOFusnpyN3XIfxJZ+Ti2jcKbhDW+wOGzR8aX73//gf/h18ycgDfguTx9Rlm/vnrO
l2p0hdbtapdiDDkcrn4uFH9Y4f/wtdJlRqFvIU//+5iK01SiWbO6HWo90+9nxCVNMn7TpvZC2sDX
qcviP7yi+KcPZpAU6tLfFsx9Pn2wuoDDMrp5twvjpD0FHQ3zGCHigS2BVs7gPkYcn4yiF6+2Hb7l
Yzbt1CiAoYY1kGUV/5iz599/14RwfF5cyxzRtnQWO03gT4ur0jDke3rFbyxNvpWVNf38d/GbJtR4
gL7/ELL7KQZ3GQ5icnUck66/6y2DyF+fbS8dzQ6KtN25AJkbclIXu32xKQMAzDpV80oo+9XMkqdK
zw8gDJ6axWGg4uGml+mPzl3SGeCM3vz+W1imsp++BsvypAVGi5UHvejzQNAdERc4YbvLPdL1nIzi
2a7Zanodd2Iv5aEv63NEk+yL0RFl2ZY8Io20ND9GCiiakcYUdRzabylXcVlMFBnGZRAdlKok+W63
e6vT8ZmalCCdczBa4yqpcfqQZOk87JONRkwV8ujEd4jmRn7mrrNl6piSQYHnFOuYiV7EB9PO3VqH
g4iGPvf1ADunWlpZy9ju42BLcCMdfv/dyL9/N8sk2QIwZiNRsj/Pcz3yhjouhgtJgOvCZNXw+AEH
gq7I6Yvh+/CnCG322IGR6ZTSPz4mrVV88HVJQQg+lzwkpF9JkwJx7LWNpTMlghQV+9jbUcflIZGZ
aY52zaUTGuZ/3M/E30dauFl0aZsGjDnd0pfP+JcCgV4G+3xDsUlR2q4SkCFremoY9JzmpYdqSTBB
fsa90YBGc8g6y+JtMxA88vuvcvkx/bqTw7MDhCMlk3vdMT+tshw3TqXAde2qqTnKgS9GshLiAgf3
719I/n2nYXQoXI/kKd2RzuedhilIUEsMc7ugoCsIl3UlcD5taxiz79kMsBW2OYt36S7XI3akIm14
Mz0WzSBHMj9U0ZvkCh8PzJucnPteyhWQ7zfdlMudseDyTn/73BjM5o2MNhyB4NofZnn/9NAY4DEA
tRx2jb9NjrFCulLMERjSFn+rxFxKVs5Y+XlL1TnmY70xhv7Hcl+aUtpPfR29/zdrZ7YbN9Jt6Vdp
9D1/cAgySKC7LzKZs2bJkuwbQvIQnMfg+PT90efvAw917G6g66JQgsvKTCYZsWPvtb41F/5fVqzf
F0iJLIJ5omM74vdtIrdJ+Kotqz6Y5HA6BF5suQy8WN7a23H+26vZv0+wpHSAtzP3dSzilH7deStL
+yayU+aXo9pn8ElwzHinpbPVNrAUoj6PgnrRDDkAbKnbYqleK6JMrkFc0RUw1XvtW/N1LprlOHDw
3mRkLWxEwckeS+NwDerh9s/32u/7KO/YXQfF+IpXGcnPj1brTpKYLx4taQCgQRuuQyOjA9GbnJ9o
ZZvhYOZ/GVr+Q8HPq3FHmAEVquv++iTllA5j1SBQR5PHLVw5goP4ZF+llSB8hgi3HWatghNtj8ot
9i6BQ6Ny7RnSbzd2GFhJbSppIUQMikKdDdiNXQfBd6WsPbnSu9rhiBmDfA8dV7/aC/XW955IaXFw
shk/70n7YTUjQ+6Yr+MXwCfJfcaJaltUTkwmtBQHlXXxNomcD3mDR8cyGOrVOKMgVhDGGcu1mI9G
BKXrhJK0+/tppE/yfbZBwKm5Yeb2eT0Jk9nNy00w+K3ok2NMcBzrDuv/inX881f5j8sGocMIeJgJ
m2g2fv4ucRckcStYNtSs47usYIxpcXzZ266AH04fkz2QQ24S2O+0zelmu3zR5dj4IRijfFd6REoB
qgv+Y60vkMyfkjmBKym62g21tj9+H22K2grQ/EATLBh3Q5XkS/jzJ1lvup9XWgLRqS5QM9mmjZT1
5w8ClIQRbCu7QynZjIEilWEh10dCxMNFtUGxDfyl+Cj8SIaOJNXizy8vfl9/wYJIl3B4CnbL+lVC
EfhTFoxTWR3MnClaZbfTHbFVeuejaWTkGYjnsnaLbeLE2am3eEZwBdFVMOhjJ+t/uVnZhL0pyR5f
uE3Zu5goQdsgaUV8Mq2esBEsCB2Hzu/zB1oblkGfL5qgG0dx++rW6zTApcme0pQ8mMXa45vWdi4s
w/u2GcWzSaxgDYmyHXA3uN7i7udV81KoADwfMX5mbphfBWjsQ+kjsMkk48Y/X6V/qCx8m+obc1cg
2JW99Sr+sCtDSM9K7HMV5mQeq3VAgKWakbDFRKjGMrhbNCZ6lS2nyczMDTJP+j7JM8ODmmwXxjCL
2SOcaokQYre+z9f1rYGZlS4QK3X9sWSij+WXWQR0k/nw53f/+7rn2x4VBc+9yTH11zNSr426K2i8
HAxfHICnMTdhqchm2pHfu1F5VPxl1futeJbcU9SnHMqItWNjX9/SD9crtiDSwFXNDrS2CUWrNRD3
dXL/fRbTff96e4ZChDmtSg5EI/06Bhzwv4Dfmfpd27QIshGzQLtmzfnz9fh1o/z+5lzqWp63VTW0
/vkPb86bwUkZ0L0PSdzQo2t5D9D3mQLwPeEk/5t+7R9ebn3EUSo5xLrav207WQ13XlXZYXTXu1YW
V7NBQSU67h3Ojn87Efu/VsGSNY4VBUUnQjbc8L/cq3E7MG0ks+wQx7F7hStGsBaC5JwEAelthgtn
zKhIkhIdLTwdF+PaGB0tyyhvRCXkyyiK4C4d+qPn9Led50+7xtPeRoxwq/HoEHvA9nQh3Lg8kLoC
0keXZCg7kJSiAat5suhy3yX88mRovXV2fZ/QDj+lfWntq7RrcCHbRQiWpT5yhhHx1iCrNxTKTbEv
xujPo3FPRxJItiJiGHu/c0bLYTBRyW5BioElRQ52kBD4NgJ30JXXGGkYpZm6LTknY/I0oA+VPnn3
MX8Q28Y7Bg4Q9GPT30MvtIkeidJQxpzUyKAaaBu6Nh3BlrZ6wpx6NX07ZwSqLjqwLMBRUzQldiGR
nPu0HYiFEWVGlyxyDo5s/GOQ8B6MOlL0dx9rLW5VnNihQXf4gmJ9of2zWJ++2w61zNy/PGjOr4W6
hDNgocSyOa4SUeb/0k8MVNMGRs4uj4LCx1TFM+bkqEZgvzHZppZK7cK8rZumPET1iGFhmQWOqPUL
rDIR+q0m7SLtqeslXq0wybE32Kmz95EebtgZSLvlBtqRspyGPgsksOG23DNEENu1K7H3ncUgf2oU
V8H669NK3+rYfnIlapNx8lCSuL2z69uCCMC08//ScPp180L2xwPFE0wdw0Jj/nKrs3JartMAkYvb
hZAfUL5MYv+8WPy6eH5/CYnC0A1Mz3LNXy4wpzCXRoDyEQykWKwG2q9DO3DMqBfEIBqOP1HKfzsV
/VoU8KKsnYLihvMEy8YvK5Qy4Eh7cStxC0ucdQoXSb2YDWO3jKgWh5Ge4az+/dbEfaCz7i9tLevX
2l5CIKdAting6afScfl5hZybAlPN6lntvdpgLg/9rbadJSSLjhfEuXeqA1i+rHZPtB2yA4DE4cOf
r/t3BdyPhdH390CLHH6Lj+h3FYj/uErz2LTSbgE1p15mhMPcdEdglmt6jNlhsxwSWHv4fd4mc4lu
uJDihrxqmIja9h+NTC5hPEhYFGRDkhe9+K9mZ3Mpm47qLq73RRa3DyPE/ZPbSj6OjuVV0wjvSkKz
frYVqoTNtIaRjYG+cwC4bGLsBH8pvlybz/DTZ6SABdLuYROjcc3e/PNnnBPtrWZSb9/zVF2NTjvt
zRoYNbji4fz9Q5Cbk9+ZxEBfdTF/wOARSjCsWvh3aEcWSrDQoRexdeJIHaH7+YRRpQbPtdkRZ2h/
q9FiHCFXIiGD+hTCxL4n2svZ1W0ykAURd8e88QAGuYt/8CY5MNUG3eimKWoOr9nlpDeg8KnWGXtp
7Ass/GEbuRtVx0BpAMjeTPzNfe0NSCxiBV0Ex7sHIPduXurnpU0dFqH+7JK6tl0wh21UEw/XWPP1
q0FM5J9vGee3nZbLSRMeTaWkFez8etaqgyBKFs5Ne4Lr6J30RruV6QDdbHwsChFtnV5Y+0XDroXB
Hm1tOl7b1CXgPfNz0BQJ3SvQfjhOAh6zFOv6pcmU+dbMKab6JVgu/BbvahiqnomwKI80kvoNFx0i
oDl8XtI6uHDKA8qrkey5uhP7xib7p2htiPNe9dznxFWDgHgqaEiHMOH+VtmI31YrYXHm5ol1QKII
2qU/31Bk9c4e7RR3bw1s3j4ehU/2NDIE441H7KC+vesrHz7QOBl7xygMhDhNTPiexpMjkppYX6Co
BbSfDzg7kXckPHbZQjrLxgcRtLfHmhvTU0bYIo4LzZZ7ZNYkv1iJn5Jk6uMvbtccS9izli0ex8F5
FYYFviaQj1GcfOGs04NdbvtLoQ15VIg2rhUe/TtNPbmLcyz/wZBzHC8J5CjGSR88egMHwchvz2CS
G33gJXEKO3/p4fzTvcPkQtD0Zu37rSicCQtmRsm9M+TuN9wG/t36rLQ9jt3Rwkf/51tV/rZzCb4i
B4UanVwy5H8VMxc9vSqz16ywyKnClDn0K8KyGEc+uENzKaa9Y0bpTezp+GL7LQteS/lljVz0aWio
4H1ifpkmvgxBdDUq7zpa3G5vofKZvPOs0gpAA8/1kCJ55f8lUMFbQiPgvmyxyIX2yNNM2f6t6prl
3q4Q81ngw75aVdUdCV+zmBxO5VXamR4gdkftYyTxH8Yhbx8Y+EehZcfDfZ0kC9gPdBqZsGhxeUuz
I259uEbMFZyYyN5r/DHHAJgf08qgvy68UoL1rIbrEVP9vgORv+/Wt8PEFLN7Wwwf3Jl7qxvYZox4
8AtQhzLdA8PgKdRGemObFenybWl+ciIJXniwGGfHWDj3QUukYzcQYtBwISF4WCtT0MbKPvBALH+p
Cv7hbuEmoRez6tHXXfLn56zzvDwrFKpYv0WUk7pcv7aGaLFU5OFJlwfiz/fL76/HVBFFOiUWB3Xc
fj+/npeVKINJW9rnRUEBUvM0IJsLsPQm/jFesN//+fWs3wtLjm0un83iwMswL1jf0Q+HJB95Gxlw
SuzRMQHOnlGGWpbvXSUFg6hyMePLFIhkpzpvX1d9e2yJKiN9FFdqVfDwy7FkFDDKCIAN/xX0bFTm
wFdtVmIFf+A3rBs+SuJV7UPRsVy75bq5uxHcPOJ27tyyepvXZQR6T4TimpvOs/I39IvNLvVQhaZV
YoSK3uRT5bPZLbCK8oEMNaYM35qKkNhldL9lMn+zY967YUJRm/1oudDXsndQz2msVO1Tt3CvWwYr
//ettc4otVpfxTALoZAGBYJ7C5HvyonDAhywS8bcgjioc/MyaqEPlbfupoRVbFVNXZIl7DM94K8N
dKcFPjbrR1v083u5sL5lA/f50nCLZ23bHVHFs/dkLLsdxLjnhJjLPdfN2eUACRlYSLIVS/b6wCB6
YpkbYry//2nO/Y5P3ti30uA0j9eyD+E4NgSapPNmXnfdNLa7E8wKycPCcpFYI/WAnhYu4gTvR5v+
tdUwwO9zfgy08o+d5AktY/4XU1FBlFGgQ0Df3hbNN6l2qmtvEgsVUamjin2Bj2m4VnozGFA56sHq
dv1ceQc8SsEJpAbXLnf9Q754H7xZfi7Q626zXNgnns7hCk+Ns2MFWy3Rs38YmpySJaGM/v64Bx6X
D6Upr0CKY0iEagr1lusfB47m0M7X8f1u///t6LwGklB11Tf9P9bf/Lli9pGoWP+vn3/s/uNn9bUK
3/TbTz/AwGADvu+/tvPD167P+av8on//n/+3f/jfvn7/LU9z/fV//ve3L0VShgnK8OSz/tGI6XAc
4qjyXxs6P2iNhfMfso3+/Tf/M9zIR6piYrvzmKnRbPk/Bk4p/0XJytiZeFbHt/211Pi3gdMx/yXA
M9DVd7Bl0VvkL/3bwGk7/6Iuodm5brIWjVvn/8XA+Uu1szY3EG5LE9EBbiTLWcvrH9YojQTSQ/I4
HOpUB494wufbkjsWDxWH8ncjWLLLaAZN/ZfFGFeby2/+oXDnldfqCkMdzgDbYxv/+ZWJZ8ngTgzD
wRN9tE9ax63faCLPRGYOFrD8HokvHfV27F/zOiUnm7B2mFi+zAH1kVVmevRba8vedq2Tf4yaCFb5
bEHPEdZMTozfOkxvOmJHtxDouv442uR2YOmwCNCwRs0Qs678+d0ZoS/puS0PtuNI0hWK6W2u7OC5
MNMihgE4DPdzN5PsmSF/Ac2Ww4Lwa1wH28Gy+1cSNBK08dBT/KK4iKTivKPori4eEL/yPW3ATWtA
qAuxvmEXVWQSt9ZV147pfdBn8iXgjIDa2kivaKIBvIqZzRI7r7zog4HYJd0tyiBiDhr9llzcr7JC
pWMWmFGAUZ+0PaXhOMZ3ftxLymLgOaWs0JNaJUshmLCxnlo+rf04gJnb0MoHxkw5DVy93OZF1aN1
dKA81WPoT5XAtkFstBrps45t49Kx8XJESrBWvJo9Gj/mGxoCtHeBuKBbILwz5zjitAe0nvTFkCk3
ZJhuGgcuitd2W/yVMAKRs2ztqBtvx7ZvQK7UpLxEbQvDCv6qrvqC2AXRo2tEbNWrztrqMZE79Log
EsBYHbSr+pNtdtZeJI57EqYk5HjgJGq1fX8GV0bc9RjbjCEQb/VuaR8xVpDqUqvijGbYwziaA81f
GFgtY0tKoC2gsnSWygmNNcSX2hrUsRemAcbcM27AiJUnq2rgPC55h25W5CJUHTpz8M5RrDec4B3O
doRgqZCGsQhQrXgQEEdHdG8zyvGKToPD9w6RR36ENedfyzmx3smdL75oyUlo69PQRAcaj/0DXc0r
cwLgFxKomACxCZqTnpuLMoVxLpy6PsdLUb0UPmnFRBK2sBtNUkAX1EAjtSP5rKz5pll5HrpMr7qj
7YBi3YxcC416lZUgz2z3RpB6bm4nC+NUznz1gM4kLw6ZAVGmcI2WhmIhzBDuzWLv4BuDj1gk1YDZ
OoQ4d8083NtEAe6Fimd1VqpecmBSjfzYaR/xLhrh5Yb4WODgAN+iBwJPzJMJIK/ceg1BjAsPFLq1
kbTaGMrKkVQt8VS1kJXXjORk5mKuUF9nFtjALK/OgV9UwzOdOTfeMPceHzNvsh3EqKIdd747quY8
j4DKqgbClgcQ+TkDo94fdGGJb6U3RsFeOPaMgL5raGFvSLgwHnxPj0R+NcslA9eWIQFFs7gtmUvk
NPzI4AD8sKrAG+PS1qa1r/nH2boqkQ/94pYj76+AerwYt5GYv3gqe++K+Moa0kNtGhR5s43eebDz
48Ame+sJciUa0V8lOuPkB77+KtCEJi6WQf6kyRCsWAx9TOvmpvSW7q5JzS9xZsHHqUB2RMDLj2Yq
4eNImQGs5BPJmUmiKmRyF0fopUjd8MGjIK7gJFq9L1477IEDeTcm0DIS3eZovIIbMX0rioic2GS0
k0sQ+3bMDexTGCzlDNGwnV3rXaZjcmb4nV+oY28Z8U544zpLOyGo+s772lQzeMaNrGaBJc0oeC6N
VwIj2I+JOCnp+cGumEHmlEN/HzDqbjZxQhsYkhMdkn75WjsN60dXCUGbkcjWwJ4lsnz60CJbcNzi
jNmNhUpOlY6LOwSRUbN1nd7ZmtUYPcicWueJKqkFrzNn+pSpZvisjaK/6cY18IuTFUYB6oZbH18t
vLfKtgDCTJI7KyK0zhjUO/4ocvpK1z86/sQHQ4awJSWCqzHZ9gc/r+IL7hjAqNPIb5i4gdWY3ayY
3e2oomOf28W2KtyzzmN5XdtefO499xu7U3LDbLk+5C0d+g1lF01FMlKY24LLUbhyFoAjSaesMjTm
pv1ChB8wMLor5pX0yi4CegKsahcTNIUA3h3U9RQPDwmEjhedMMHJUQp+NckYIjzImUgO54E5uM3g
D8e69sDKDMPg3zQ6K54l39MWCVkLGyQqv9CRFsSlNNH7nOeWeOyagmVWL2WsMbc55rRqw1sidqkO
1qwe1e6yGpyUShayUHrzvY7dau8W3XLIbZBsMgnCNQnGgLhXbJHW2BPwwsyR4UiSsHVImDvCbK45
gGHSSfTTmNlQ2yOLZD/ZyXHacZxGzTSMzR3St/sI6i/QoQR0d10Yd7kW0c1kjA2/lNOKL/b4KROq
d1CBdqNIwlOngoiv3Ygr/pI27Ewu4kQnSxQfIb4OBvNLI6fPM+v7aezAy6MRmk/JQrazMTX2SqD0
CLaJjNC286vaz6fd0rfuwR/A00Tg+8MlJvSnImftkrrqWTmB2jWapJeRblw4KkdvOK90kAyNJX4o
UJHtqpRUxTHaQQ209nru7SsSWmB9IgDemIZMvkxqxQ0jSbrOO3+VT1v2ppqgh80dGTGqi9pDLWey
OHJr3FELOrBlVxXFtHyIcqJK7KKqd4XHhc2bMrrGZoIMoqs/AMUynoKqbI+a8cBaahDDguGSw5Rv
HViB/Itya7Xzs9bbmcjpAKsL7+iljtjgqbrrjJnHt7DF7cT3bo55p7d2O0ziABEdpvck1aH1idVz
nJYo6C4R7oVyAcwcs3BYUYCt932XdHegPQI8brrDzQRu6iMajvxBAuC9mEGefesm1zsZbDkn5rzj
C6GwHuesqRr2owuwdivIFQiVNKNvZrwwL+Mss011DoptbZQfmHOT+1IlVnynDCKRtpkazLOnxHQA
7eu8BVbbXA3Itm+LQGcI0sl2Z2zc296ZvAZ0IgNN+LNCr/GoAsu9mP5gPc1NGn3NO2RqGJP84uC3
KslYmKzolGrTPWOKKs0tdo9gp5CGnHlUugQT5DyoQ0U+wKGAuPLsCB+tjSsGjcsXpX9s5+oL/Gz0
/rkXyIovoSSgwfeNJ3Ts6TGJu/mSTulyKM15eBWuLi59Q5zhZqF8uJnJG9vbXR+UZ22aGZkQGAme
IMbPXwkCLHhMgYg/0GgfHoK4qgm2TTygtkXUb0dK+30aZd2zP1fmTQQY+RxHoKpmm2Mhmx90xA33
gXpNREPSR2HmF3cygISNhTgOZTLc09bSVJNedOd0FV0Axviwl335auTYkxqI+q+OiE5dZbkbT6ub
1k+9K9tXQDHBLpA94Wc4tjZ4igA0LQjaPXtJrmjgLZtJtu2hMmwKHry10xYpDAapnhwn8LmcG2LC
B6LiJsLcdgjystnYQ0nBCGjygdyi5cQ0ARKuX1ofHG/AZFW12oHwO5LzvRh2at2xRbC/9UoOuPrQ
3IRFhx8mzxmOBwuqW8/Bugspp4EqCiRc5sEb1DS8HTYIzMQv54M9pKs5u46/ULSQVOPVOgH6mgMO
66e5PBTuiuRthu4jD+3yYASYqxd3wkne8iK+gfc/hS2+cwtsvTQz1F01tfbN2JkD6aaOPTX3NEeb
/NHwGEOEGv4A8Rs9B7xtZKl0pFXbTkyF7IGABYnYAKevPxgHt67Sh0KM6mmqreTbgtTqEMyeqnYQ
S9ShZ0JxX8+29bGvAvGE8AX+7NzawWu/qGDZpUlSPqrCiL9Mo5fScyZGsRE4GACJJAlfR+1NDyYF
6tfWqZYzUamOvymSqXmYW4u1YiHrlYKtA5QYuxpDIdRDluy2c/oXj6/7LYuk+MBM1WuffLrj+iaq
GuHsFuAJOLU7n+enSNvd4ADM3PquIrE2KJTElNRbc3KqLW5CzDlGRN/bJchUF7NHOlPG0ytmMMHE
BQ3qUpEwxCDVaeob1co4ZnDs2NeNUUuL513aRHMPtTo1Ve98zOFjHUorqJ8xmvdvNkeibSPq5uG7
dp6pNkjQLqw7378AwXJCxX0IrcAz31IZj59UGaRkEbjJc8oM/NWqK9ffecEsPnoJbo5Bj/N+CPzq
1l4c717Ra1QbS03RUWBCbeY6O1FRx1eTLcYjkLfl2HMJ31CBDlegLb07EdftvjDkwdKVvE1kOp81
+uSwH/r0oRSGuA600+M1DbQJIwlZDLz1BmmqzOfoUrUL5FRXRtcMqT6hJ/5iDMV039cmgsipacmz
dGxCPzpvCL71fi23MdjovUBeHuJIj59bjEgvY8qTkxulfknhu6IiAo1Ywts9J7ko7rNKfFMiNvHs
6+ChoZy9y4uhobpK6q/Mixjwq9E+lqSHPoFg1meQGebOWvT4jIUXE6ORxTcdJPe7amkdJhlEEewK
qybeKBIj8RWqPpHNHt8PNABCB34gjIh0rO96zqTvzWyL+7jA2DrT7N4Q1NDeDgADT8xwX3pzIsNo
8mHrMbZ0+h0mRR8tEFHyWa+Xt9jL54019SZdMocaSKf26xBX9vUw0MWAJh+8krkafYoS1nxXUaex
rQ4Ps6rmTzDlyptSq2W3wFS7xvOcPeIZYLA/Eme/X4zaODsgBa6jjlt+6FjvJT3bT0nSlmRm6uRt
pifqIjbmSE1cp7z2EXhDuJ15uhJ2FUapCWLAgD3FH9ds9pkzlhOtMZ5xCgRziJ5z3+3Obh2lz0bF
fdWhUuYkSC6KX88wAWPHukNKap8jOYyhMfT50zTX9nVsFOU3MU5xgx2xtJ/WKKgbs2DP2+Cpd774
KuOEhXygvZiqC9LNEqXqaHCjWTsnH2DZaZ31Lz14VRVWhqhf9FQ3AeeuyXoks7l+kq3dvaVGTG9F
ZsQTh1PQlK9dl0dvozZhpwaK9eXSVa13t7D6MbQsM+8qLXOCIQuvEO0+zfzoTemR85XbJ8774JXe
MxoW8k9p0b5No1XjVDblCzx9uteFrq4UlRq4YNYO3lBaAJj0830ySPEQGKzeFhzEI1eyu22tdV6S
DfqNpvFwsYYmwT9EOHJXQQGde2feM6StiP1gwahUUr+20kwYcBbGA65jd5sW5GJZcqtZ4qttWTFV
rcrGm24CXLjukeS6kdZ6QKxyPyrrueS0ATAxw4c9MG5gbELMypyCjtyAhlcxvIB5fsk4Q4YqSly6
wgmART488rFBRByobbQfxZ4qoL2awYd/tIPEepIp2hu6zAvvweiqh5n0mYlGkCqfRUHqR5Y0GHPk
XL5hqZ6/VdSgp9g1WIYixl/Ei1V4zAyDEXTyThrKOxEb2aaX81s+uXOo2Zq3o4Y0DOnfXIuxZxaZ
6jy33aMZjfZBETJ2UQwx+TYrY9PTew4ZuBKKVRMa1vsPOunEbeQgdDOVAGbhiIIuwBRlJ1eX5WXE
EHyCW8XtYND0Oy9F21dhHjvrNlXs4Xk3YSDhmwMd4UkzlgvQU/8aL2mMwCZoD1YQme/Q7BE1WybT
pqysCv5+3ly82HSvB05Qe7yQ+iGdJaPx2DqwN49kohJJsyFJot32hjsecgOzMfO29hb83e3aE/po
epHAelGPlhNmRpneUtmRdojQJb0GfuLR7epcsIpBLHBophw8N6TiCvpviw6dKc6RT8qcKJmx9e4p
DXKBCz6LbsmWwBY7yu6oReyRWYO13ulMkySLmecyjwIwHBapYRq/EXj4vmovgkhHuRW9Hb00aiBY
u627j+nsmNcp4SvgH2ODBVwM7r2T9HC8ebVt1TTRXYzH6Nqs8TxuoqCSl56k+KNTZenZTubuUmuz
BjaQ+A+MeIB0jZhJQrvkOZ27Qd/SXAOr4Dooy9E2F9muGQx4A4uo050S8+dgaZZQoxMD6GybX4xF
ZachWqJHj5Vp48kesiZpxZBrFjJUVNqrfeuay20A3eMQ27JqNqT0+tdTput7qEYmt15DHHhsOOXR
q8blbRpyea5dUjA8t2EVnBib0m8E5VnTvIIKiMLyljOB/ezFQN9D0xyouYg+cDo2M42DX8kZZVZm
Qde1jQ8kjzDAmsfV7FDAKcc2N+3SKZ/uZWTnW1xsxolw1vpsVCbGFKNsPpkMfEJDVUnYFSk8BGL0
OK4fMqtobgez0vs2Y3ZuLRMbKT+6Jy384iqf5Lh30OrJsES8PGNyifSOsBeecbRv8ZqUGB36rGnX
8Yw93ACF6p7JgrKe/bFUYd7PabyhcwUrlsRAUpryMuOcPCb1UwZliIxIt5vmcJFDWu4NHD/VhTQw
m5ZsXZE7BeuOGzLOlPFSpqI7+2aM5mKgiM62sPvhuc5xm1wq6SWPkE/MkXrGoNm7YIYb8f0m/bdU
Fsth6UfvU2YvHkbioLL2sswN5oApc9i961SsW2kTB9jocw+GO2gw56ED059txyCxV35CUL/0oKbe
B8MESY0m3xQn/IGRd8bfL57Q0ZSvjRONBwP6xO3ECFyBh2+6+2FWYMhtsD13Na73B2cQxS3bzUfX
Ym4X+YR0WaiGPxmI6ff1TA5y4kjn3Pl28YylW9dkVU8NQqrY3s2lRQbLrE9chWXXmTXIqKTD/O0y
r3zUmoA/M5qXJ9qXMIAbW945s0eLIR39+kr1C3JY3Tj+F7oGHjnAJUFDG7NldIDU3hChIcf2SA8Z
cmyrSBFLfI8NghbqfI3jSe76+D6pSREP19HxU4bj4UqR0CYyr8Ucn8vpOrLZCY4d20yxSZZYv/tx
2lXbeJ76bjNVBXFYdJ3de7+GBb+pxzkPMPDPMKK1Q6cWPa+PNtJxqnTPNmLf5SLQ9w5W7Bca5+O9
4fVo3AMLFHYpuoPGHfPBAdl+66Cb3CW+MZrkGdlz2OVuessADTdnNfreJ0069Mdk8vIL5PPhrjVs
whaB1sbiAgmcqYtl5fw7JowaUzhV1lZLY3gl0AXngUdxvY9d8rHMOJluyS0RZLdgNim3GRfivkrb
xWB6a6svkRXLHl27ZT2qiEbvBoVZ8Zgm0oZ/E3GADlCfs51Cxib1mYPUVDjuTYv//qFRlflgE/h4
iwYKpPMcJc3HZfITqGApBrmh8b1rE780bRwohOUx0YRlgEOyL8DWPIjaTWISE9jT/9z4aSHPhCFF
nyG+L291wMOzG2MKts1gkuoRDktMcDIW3vKwtEP+wt2GkrXECk1NX3bTbWc60Wes3OsCx0Pkkrv0
gjvGPjkEuF6bdinPcRwRDNkU3YW1nQ2oC8wvnQCaHAYk/x7G2jA+eEZS309eK8+MlpsrMerhtDhx
/63rBYZ+bttmM/pBIzeNnqavXhoVYZv3IWcIJtja0+WxFIs8I9klx4uIkEcxDe7ZsLGpLNncfynT
xsElhFngUMPFP6ZCTtRoqmjerNrs4p3qZfXAEYnuN5EvH7LB8e/Bn+SfF+bjj4vd8q+WdahTQ/Oq
NIFlLdpzxh2J7Iyzzsxx13MNH8ux05/ZgQqfdJ8xeEKVixgGWYVNelwX3/WF7B6qas2kXFhbyATq
BVnBptZ36I7yS23xl6yoSjYKEMidhzjQ3Zhz0X9aaKutG/JgX/s9XJhIcioB5DfmD1ncIAyIg9Su
HyPyqu+njBFbTHFzZZoJhnvOmnhHrfihs8nQsrPJ3Q5Dw1FDkJjStlZM3sAY3RIu68FQrtQtT7fx
PlnwyPnxNSa7YUc46vTGkdm/IWpruZvJxG0sNywykA1NXPlbOw3ma0/PxSPBwuOhrWS1TePgcU6g
OWVejvzZo3V50p3pphtnnJJdapvekzPyuUBX8vDMeKVEznO9aQ0cPQPHVyY0PR0OIykigmRT/UnG
lXcXmSaJhcKZ2gdBQc9JIHdJ9vF7djliEepzMhD6hBxMdR9VNrWQBvzPVZvZGTryzr2NlS1Jha3E
/UQ741MpfeFuiEBSmuMu45u4524aTXVkVY3uqqT0twpx/S5re8SOZUR8X2c2PfFXVYcxirZ7S5ae
O85IiSgRLr0hyxeyNWaKzoCSJabDmVkrfkQwbcFBa9XPzFM1DHir2sWNro4TweKhKcnCgPvvY5Rx
XMFuqiaGVloXnzwn6q6ZHfaoJUFiD13ZXcjnIcON7f6jKWOT7Mo+940tKsHg3EcuhaxMmVs5S88J
hoDJ8dLZHa2conFIk0xj2r21+1a7AsR8nGvjFBkddyQ9Egww9DGu9eSyyAUSdttGd/GjC0hmj1F9
fPrf7J3HkuRGlrVf5bfZOw3KIRazCS0yIlKrDayyMgsacEgH8PTzBVsMWd1NWm/GZsz+FYtkZUYg
AnD3e+8530kgzX1Weho/Eo6tj3gmQTEBHryu/2HZ37hB6lcElozje50xv1ywKkTPtEg5msyotFip
Uhbjofc95jAZbtRllHXxSQtIHzmyw2KtFYZwhi9sXFMZkKxcecaRixIzt3pDMKeyh/0ku4idC9vJ
vmmlclYqskpF3EY+vdR+ZjG3AUxiWYo9v6xBQ4XEXIfLKrwqfToP43SfhKzeHYwg0nvdltTc9krc
y5CTBEaa0MszmPgtsrFit7KQ7ouFSUDPWRVYwxY02siBTWN2sUUBTJ8UbLe365tgJDV1CXo32oUt
CKtlAdThKR8a5ihWmR3HwRthb4RC7GmyFwQ2Nu31P2geOvLwEuuJma2dLzQDUW9ZlFJ+1kNSnhUT
1Ds2L84uOdvlIpRs7fvOKK6sL8gzr/SbrTVRcuIxulZXhd/NG7AnY7d0mA+uf6VxjaA4SVwbrM/s
Gh3U0e7biDBr4qUD6CncSFQEy4Dm8HEG8HIYy3o8T1dnEUpsmuRXYyVjGmCesK55smBeilTfOYLO
aNxqquv2FThnc5jCMt8T4wWpJTPJjp1qpH9IhU89x4mzdV2doxk8DNZdCMcDBtwQOtrNnMouXph9
a7waok7OLcDaU9Zoaw2zP/aXEChaoKOYi2L4VXcNhLKbKsNz14JsWZMdglEeIvf3XBGJFCm/uSn6
Kr6Ec50icE800Sm5nr8TIR/vIjPw9s1c6R3nddrEAGjk5n9W9vM7EdD2qzp/K77a34uB/ldqg0wU
PbgLEP3/a3nQ6iuPk98Kiv77h/6iDEL/Y9uBROcDKcG+/vPvyiD3F9906P966HN+lQb9XRlk+b/4
mHPQFZrBVf1joav5mzLI/8UxYGkEaILQOuLT/XeUQcHPAh3Dv/KJHcd08UID2P2J3pCUUhHEbtXb
pIln0pV03T32Q6Rf46EbLvaoH1GHi/vS7jjAx3kMMMghj0gqE+OS1Gn+RjD78I0MnGQfgldZAzGS
TAdo7JlO1xFykEgORsZ4z6/n2HbtAkZJkX9Rknww13VJa8C/W6fAOtjNqlsV6PARRSXqDYIgXuzK
KYjohdQnyEWHKpplt1Ml7+GLDaTO0Iwcob8926lrrA3SyYAJBjSgs656YNF6HUXqwOHALU85Nq5d
IfSW8C2yxCyLCrFVDCmm+gGtTbyOr+sXJ+zgXo0CnlTf1Q9O4Yh1G6UFxFOartiAsIGFGYlfBoMu
axrp/BBo8SMgSeNmsKP4w8cGhRKg7T760m8fU3DMWyjf7gBM0A5WzgAYaJUW4IIWtRua72SZkxTn
yH5tAEe50eaop6U198TftZwV322qWEW1J/HK185gvFV4zZF+KNhbfkT29aIZ5El2hEctJi/zn32R
t8e4NslPs31CeSmBq17/Rdf7P6YE/D+8JEBfuKrQ//WS8Ngkqm++/bQo/PXH/pr3YLEoWAjjDEIL
kP95PJb6q+3+8z8C8xfMU4Hl0El2Tc+8GtX+Khe0nF+kdF0WBX7EB77N//rbomD9ElgBfUik8tYV
MO//O4sCCr3fy/YQatvMifiFLksPeI2fPEUkbQoxsZXuHFQwS4LirYXQ/q4Yipyzw/iKD+l6TI3z
pSSPeTuTRM4D9YJX8bXwcuM+rOmxyFp/dlPigdws+nU3uvRlhEm4bFeXDxlFy/GK+FqgzytXM8JY
BL/pHT4qTIOQepk+MCFDhXSGJkm3LJliEMjyFRlGvXH76Z5Ysa9C5bfmRCmd0+lfMtdxqJbEpxPZ
ZxucA/0CUb8jHGHBcodxR2qBi/zCDnnVaHhP2nyHWPwGEfEQc3KBJ1m4ETPokGrdgn5h1OTTsMaU
CAk8+0i+z3xQgsT2uKR4WdC4KjSu6uk5DKJHI8m+6bh5zUAl51h0Jwgo2ChoV40c1JB+M6iZCH6w
nP4eYjRjxcy5Ua457q2McMw5nKoV2W8E3dUkkpED0E8jsWvS7H+YfXBuJ1IRzcb27q4Gv2WgWLDq
NttOIEexx9blySOQHRFEG37YKKd3Ll7WA7W3WmE+sZaV5pyQgQc8kEHgfnTu9N6MqCbsYq6v+LN2
aQUgu1Vpq4/eDcSJJcvYB4wPF0mn09WcS4cGfNMjFqm+0ALQAqKevTRE622QTaSLPkX2YBoUUrT7
nXUWMwfQQd0c6mK07v12/lQK+m2Fqfai8z57tavp1fFJYdTZRDc/SEFtt8aNU2f9WlUO4bcTKeHZ
kP+gfMl23q9ZxxBE3YG/jpF8isnM8rr1UBgHOmPcAH4GJFQ18THx8sfEdR+9rk1ppnEaK6IxeUSJ
0a4yD8RBi24Ha3mU3+uOE5lZDBmOucDmfBm3DAmcJ88GB+ZFQp76tH7hfg2+RqPs1ga18Xm2yFYt
0DGtB9U+hoIw6IntpRqhEs4tg0UAEgNVzLYt0WLQdHrLy9HYIQK6N6Ua11nnqQU6jXbDya57NqIB
MZbr3w9T8Igm4ba0Bfcsz/tyiB130Q6FDV9hICBjHNsoBPph1c22oKTek8CEmwWmqLrlgKzWphRi
FZNiR98WgkPlRHpfJKbauNyDl6hrhwOj9ARLET7QPI5ZzoJ2O3eKQy1xWDDMG/uIqyC9b1PH31qK
2auQ7bMZteNDQU/9oHF67MwOQU3nuDBLU2ubJUPxnKdZsuSrQiUpJxQTWdohPe1F+NZUhMOHmVUj
lGujwzxpt16EjHlQAsrGWvVh81WpBpEIFFIA2MTmMVEa76LRC1ZqhPk3aoRiXeseCLmwL0YTMpIP
JfL3QCd32sxjzPN+f+EIgNWMYc73bgpoHc31wtVetfMNDhgLYjzvwqxjHC1oW06k+W7YxwGQtqFH
2zZCatFpH4Kf8pOdFcsyXxd5URJrYbirQIv+ZWoD94lztreraQi/gLNCfG9gvZGDkW4TxyMZzaun
Y+3J5Alucn0TVTVdjhj+7n2OLPAMmnSGSZWnL25pvRgxSdWVOyESisqdasdb1Q3W16BM5GHaZQSY
tLgl7MFF2Ev48MGPBWSRVn2Qoqq/BrstLp6y9QHFABHqZCljOyUoTng5MW5z9OI7uTrD7T9ClrJW
iGq7CJQ5iEhjWUx2dQ3XpZQLLZ7cxE6J4MtCXAqxd3TyIr3Vc6huQrNLL7ERmMvK6G96NxmAOnT1
S2n0/cKC+XHu6qmn+Qm7tU/gbBXX6ceQzunTgDpok+tpvg9jmjqyLFYWIo8VydsoA9L+jn1IQOIK
ARQbMvpoAHjuzJzSb6yN9WxfY1KtsruQoCqxVROFSlJDvyqt5Gb0YxCekVPdkW3JBJIo50VjeoKI
Es9aAGULseyZE3ZFwoL22C170iBrufp1MGw0WQOxsUMRV9CTI8EaNZZnswon8gvoa7kK3NxcOkFw
VzTu98TywSil6FadgP7CaCiMLkOqMUq2My2AkOUlxCWONuoZqBC74vU9YC8kei6BcV51gfXio3Ja
0kNy17CzghNoVQs65yBhHWR2pD8EIQkk3OF4fLSU/0O26anQPasvAHcdm2u8BReaesFiHDJbwAWI
NX3UGKOkn5EJJtJ7D8HvyTPcFF2E765ri3gdMvmeKeu3UqBuc9kTUOuK4A3UDOyoQH1WIzeU2+aP
Q01Ib8qwbVXmxnke5lMR1NOS3S59wlYBL02IYNlcv2kUY+HGHiLOwwVLTxeUn6U1A9ms3gePJGni
lzhO55YXrz2cMbQiyuRAFMEtHInm5BukiUbQexLTtZdTOPjLCtX0ip4gjrWZOZ+TevauHbLmMbLp
Z80tfC2XDtLOHqtvhmAVAle5Cq1w7XbyY0ILrh35WfQl8VId6noE5H9xzP7/4+6fuGOQGqBGxLTx
r0+72z791nz7nafm7z/11wrY+QVmjh04LhZ9C6MZDpi/HHZd/xeT3DPE2XhcKWqv0J3/Pux68Cpt
2qaWf62a+aG/HXaNX0wTQSyWcLBr1wL53zrs/v6o6xC6BpPLMMkOMy2PrsrvHSqBlQzc/qO37iTl
7WKeGevHFrqA33wot3+xvPy/si+urdSu/c//+MmYyMug3afURhSI71raP71Mi34qBWDlrl0nG94H
Q/gbeGERcwpYVduoUMP2j1/QpBpQv7XeXF/RBfhJNYCNCMvhTxdWzBkxkyFR2uYYFAuFIDBmek6q
K/YRG3qSWyQPfu+luy6ESIsBSCzqoJjfywmdr1EH6aF1Y/tgog9aU5Cm7DG5PkH2m2/MMVN/4vT9
GYXz6yfEV+5IuI10iX91Av/GpJR6Ipvw0mIKCaviU8MLX7YejDsyystgBS7XX6Crc/Ui8avPpjLm
z3709TMeXvK0+quiqe+zp7IaOzqgZF7/8cf5Kw3m54/TAz/g0bKB8+n/5GTyAhRazAfcdQ8l5ZTM
JurvRFb2ymt1TEbt6NFjQEt2zDt75JBI672LrBFqmYfzlLYy3YKouDD4PJqmYrIp7sbIlGRO0ELm
zFMP2RuWM0x+odPc5qTOf/SRiQx1qtX9H1/LryCjn68FZCe1oo2AlX/+/tbwk1kbXW/Lterz+GaS
jb/U42hFq1H58UE3pEYuC9uQa0FiwSdWiypccA5iiloWNEBGyoO7fhy7N5d2Bt3ka6pbJuTraOJT
buXJayC7EM9LplsuwM3Y/bDvqjiGVJO+KVkz+w3la0Ar/NyJflmWaPqnBK37hBoqa2Cp071giibC
mbDuWEMCtxIz3CAac5lKES+KqsRhg9X2iR5x/Om7TQSPrbfVUUL5PHUpEhNiUy3jyMxLT1RdaKFW
FUfr1z/+LH99cH/6LBlpSGp4oEWAlX96zBSovEy2k1yboV1cKvhXwHu0ccN2vYUL+IPG8njpGba2
y4IzS7Hrm1z/cOu8+UCy2J3qSAPathhi7wlFyLEnEdbO9Ngzl6Bz1C25uy3cP5KVjpEqps+g1+YD
cp3qGOQYNEyiPW7U7EYRER0oVabIGG/8rE83HdFQf3LjsLL+w5rCk3ndEmhaSB6F3984yjfoSF8f
gjarh3NUWD2R38Ra7xXL+i2B1sGmNqkCQzOnrV370dFWksEFGkq1M2fHf5ItQNpGR8b3P/4e/sn6
6l+XEIzquBx999rn/M3qkUdTAZBAS4wDllzaTfUjHqY9zJdx5Y3D4Y9f7J98DKB1LToukIRMlvTf
v1jF/kAaeCfXcFG8V6OaqutTnP4JhvEfWrNkq/32VX56SnMf7H9rN3Kd2UnyZeC4vZn6Uijg7uW0
+eMruvrwf7qL/QCz6XVH9W0Yyr+/Im7JVCmrlusSDMMR4MX8iWXRvXEam2n92LLslnQQ6I8aRnkb
lGGz+uM38E8+UkABWOh91n+HP/7+DVRCS1XHUq7zzhueTQ0PfAxJV//jV7Guv+a31wmbjoMDwGKW
cBpl3k+NLYsl15/ylNRf2dyrK4KzMKZtijh+LB6rILmMpb2k6/157cKClBEXYrFDcGwVdH1bT6ug
72kPxJQdbqv0ltD5jkkjY+mrWH+KjbVKIvLp+3gPS4vK2Q5mGgW6/kKu8Cf22p/vD3A/0oGyB/8o
uJ6rOCH99pafnZk4JyQH65ptBzsE0lMX98Jqdknq/uPP7R8+NqYN140P0K2Lg+Ln4Mp4Rm3l9SJA
1uRGh3DKxM4z5it3scw3dhv2Oz7q4E9elKPgz081sC7WG45LrKyQxH7+urTVSavAUrgecv0oGdSu
7chvtgFRsq92XRUuUuD2XuApayL9RvheuvGQCn9LI7xhjNqOnH3oivseKlz3tlXME1ncrsMOvFwd
Y9Y2TN6g3r9VA9YmA52Z7zPsbovQWtQ55SGGpr3MBgoTrzVuA1erJcwn8hQnBCRC5sR9GZOxwVUi
T34VksuD5UtZIt94I7azgCktI4XiDpItwV3ARHmA7mnTL1n095njY1ip+ssMIFvNnyAM2ks5F3LF
tDR6bSvRX0SdWhudtmi459RcEFNTINzw0m2euCX9sjpP36ZZmKuxT8p4GYzt8GnlKC2d2GFGXXS2
8zZSv24Co3hUCk2Qv+25ziSNzO8IV5s1vgxkiyIq3uFpJDNqRtlsZJ2BAU0CtRtz+ou4LIuzU6fZ
rTm6gG8s4ozgKiMUN9ETfLV25p8KhCGbxIxMSuwM6AqU6RALg4ugJWSXes/aUq+TtsR2mE5LLEIP
EmH4CqEWMs2y7518CWJnOuJGde7CeKiXXjKtR9tYB9W4q+Jy3lq5vQtd5lMkjY7Oimj74Mek7ZtM
94/10H/RWyXFwKqyDa6zYh34w0sR14e2GNtN23cDuq3afK7T1L6juoRbN6kKRvWUIxgLZhpsdn1X
BPPzGPX+acjQJXYKD3OMeyFHG4eQAV/5cGnGedyaNERv4RkXn2XL19Y3UEmIdop++EMXbCMycncM
dNRdm/vma1mr/EUn9rZMOySICWEdtxVMxzvkDz3DqMiI5bKwahRd6TA95dGMHCyc+ieFJmVZi2Z6
FHGotqoS2VmoOtrNI1O5jIPWme5kvExBOK7MuvB4ZVedw1n060yPxhpjsvlNhGazr9xKnq1G1auY
b283p0V3F/f5RzN4EzFzXKE2pNg24XCL9pee/qNhmjg6iulSh9MphKCxpdOi95WZVd9DJGCPlcEt
Wds9XsUeI4dfZ+aBzhMi066mbg+QDldjJO+8Wsdn8kpAZpCfs6wQjvzwjXbciMGZDoVqigueza+4
lm+lYaCobU2S8FCAJuMLpsJqRw9TLKYJoVlsjwTAtfG89zXhTn0TvTSqfWFqSAZnJ83mI6/M7jny
MxdqYl1sA3uq1ioktJLKp8V/38hVEzTuDpd1vmmEH6GY5U3Bi0KD3ZTilPCuVsoM+ctZec8KO+7q
otZ7rLK47Nwy2lre1XU7fNkyAg+IJLzFvELSlGGPyxRp2dZCU/4wwIBcD+MgNhk8wguGPjRIFQmL
dj99tL6s7vNGuxfZsyrwDM4rx06GfV7I21kZ9l0fF3wnVl+VKzQJ/cExW81D1cWbONAa7aZNkn2l
biB34a6yXQRXE7FTMpzjp85G4ZDZaj4aRs0FVnW7nFDbIYxoEaG6dbGQZpx+a3uULkMk9TmZw/xO
Aig8kZFarIUiFDPOUzi1yVsdY4mO3LRcOQLld2fA5BqCYTWKIj3jPieMRozWd1unNPz9Ol3VAUDF
BAPvrSUKJkUhpZ27sQvn2Q5rwrzsCMNQTJfN9LIL6AEM8uF0pAe/7G0INVn6yJi35IpVdmcbI6Cx
KbE+jXnM79WQctL39exs09ZCWUPHKMWx6l4ayK6rUsUECI72gxmOS8yQACv7cEC708PiUf0aRgsW
/foYI/zCcPxRJnTXwbU7yPhca9sI46HKwMwQH3kq5QAyqq/SeiGxcr92M8xyVesyfI8oz8gTCwtv
gyego7qem2NHSxwVqb0mrSc693PrLztLm8tY2zMJBNV4zQ5rUN0mAX5A2ZYORnVCErC2oVCxq22V
ptmxssVwK8yk3mD0gNlUVeogXawCjlvf4R3HCIX091viNNW3mbSmK6g2eQ5L32HE5iQ3SdjYr7zr
ag0HVJ7LISE5efTnbeyqGCulSA+1byB+J7DyvrGgn8fEQ++GpO+XqkspB1GTrtqoKvbKlglLv0Sg
1WTGKdcKlEPN4p0mzV1j/shi+ghI4qb20e+8ElNrrG4tnU/3+Ob9o2ry6ejNXno0HHtaO3kXvkD3
mV57MPbLwMrNe1IwSBEnB25/7YZunQYpGwG781KhMtsgBfVeFdajfRIH1SG1I7bbeLo13CxejTRN
b+nsMJDhakF7TfKIWlzehHYvQSYPxiPRR8ldnnQ2yirt36BbYMgepNFpKHz+1AYDPIP0UxV1+hhL
OuKJExk7btF13bcffiHjTYlJkugHHOAka8axmREIwbkf4fG0b3HB2aI5qP4ijYSut1sy10pqoH+j
3y1N5YZrgTzsZMPyue9oLX/KpC5ePYtGpRDO8wRVeFXFBEKUdTdspR4azAQkoW6Na3CtcNwCYWYN
28LGXeN4wl4lBohJD5bDg5ADRPFxzoNh4ykZ74n9VdhNHGeRm9hEZoe4KZjJjVBE7rnOPo2GeV/6
BiOBzrv1+Xl8j0BnmZrmpzmpPyEJmWsja2xOwHlTPpRNfxatvfNacAt+c4DaHN3KLHBXIwm0EETi
dD/YfM6Rl8hlbWM1oB11aiO1HqJwyUEt3DRhoQnvMxneYkIKLtoM+kvHDOiJEhNDAEpccxPgKokX
Xjs0Z4bS4bPXeOY9EW/Gyeq0OthRNJ5G5l6frUwM8jFqhla65M0Iw5Ff9mgE3/0kLg9ZAknFgtl0
MgnMZexZNiaoWmVssKrZcEtGe/pmBa13UwztJGhCV+W6CbzyXgEV38d1OnzlwFgZ0tpCkTLuD9u2
UjbOPDMxn0TImSQlEgr8t2S/Hmj/EP7rog52tHLYKvs6fHSU2fPlX9PHW2gH26m2Zc45s3YVcXVQ
45G35c+VZIreeHMerZo2J1REoTIO12lvxy7w+zQ4Yz4ZNlZGKA/wGrC84CDkW1SzBXkqzN+Q73sw
TxjTE2MKa0DrIjgxwFW8eab7BecZ6FaDEnWLqVzMlxF+CUemplUXNcXtKR1wnbrzh+OlLz3MAJIA
J+tAGC+YlH7GXGrxQM9FTRRIhlrenqs12ukSyTXbjWGRR7EIGkB2tIjGVVm49Urlfn9j2Y25gY0Y
b67zU2jwXhktmiIc90OsN0QBo31BrMfumjBZL6pi0U5lehRjop6JrDv24efsePe+th4bf/hm1jGJ
lNG7zNrX2HKcXRGJ4q4eDH/XGiUeG6PwbnImIN2KEGwgM4bZNosK/dG5YBAMYi6Yd0UuekhrucU5
yZflKZBN9yDaLFuZlU8UlqOs/syMAoNx60qJUa3EW8xb6G/rUEZ3eTA+hCjYd5VTlm8jVFFEN9qw
d7SWmMGlYfcww6LfTmMl1qVS3q7EeI9bgW3vs+99HOiFiTIJtCRpdPY1V8H2sQI01R35s3o3GGb0
VlbQBBqzx4paReW4jIKDXWbqzs1ouCC6SOoVokG194CUPKM+ZNPx/cHGDxihiHarmZrVgI6x6EM3
+cHPlNDRilmtCD/A/MQxJnbQZaH1zrSfrjn/txdkk0m8vkYzrhsrKG6ATAvcaYTpbhDXetsUWTdL
rlPZcCstsSET3H8Qo0fB4NE0fELSVb1RsBtHWhQVKAEr4OHugy3p1MieQ5hwDMmGoCg/O5qOm9GG
T8gzjMPDBqVNCOJ8KwYDk6cX5ByDQejtGfCJkxFfNRrGSOBrHtfhpeHwgVc+K4Hj59W2D8k8TWzH
PBaRjybVOFhFCx2ljxK8C3X84AyiepilLZb4Kaa75BoV2xaBe3cNF3iPZR7c95llnSwPUyC/Mvp+
XQrfi6iKH3pd1JL/mJnHJkXyrVIRPHlz1z16WZAFq75LvrOw5Od40OOTNqYEHLSXVYAh2/JdT2XN
NcTZLo78+SbvkujMHLa+G5qxOlSpsvcq6jsQcQU5Y8KKXhAThRdMFSUPEL0XhuvJseDA9lIECc76
BpPeljOPUti5EKP5xRjs6sFjvk6XIbnQGRye8eVPn6OYikMVDG2wwIzV3uEK8GinzM20KzmvHd28
c7+0CWp1Madlcmdzq97VfjoxchfasvbSoz6OYd+Yu6yhKbsoSYvZ1Klf7uJSpy9tWzRvdeoYeEoN
BgeLqp4NJG2RTp96UwbMdidz7ZAAAZ6/KChsCDk1biDZxmeBCBlpQqV2QwjQQ9hkYKV4mm7ZJmFC
2jM5omzEEWNkf3oGbVU+iUTkqBGY/GJKA2VTl905867WL0wSC6JY+53iEsRCgVj/wb867lITNAXh
hIgijdmsZtYxRr68F3GUrLyGRGAHjBEuN2T1T2Zn0jA1DM53/O8atW04rgnwsy7mUDSU9xx4zpBl
hm8yDlOiB1AEr0MTqR0DS5xd93Ycd9u8tjnsinnq62PltKwM0YTGA58fMQajoKgq7C2b+rQdPbfY
ZbYw7OciDNsfg5XmlNZ0DssDae2uwzh5kvoYTIkLzSg0vYmMYWTDK07SQlwAm3f+0ZzcXK9HKV/7
Yix2asbClc82YgeR1NOiGCrcnZzw04qnHWYv8cOFvnQIO1kK5rkfF2GWBPGmIHcHWRKub+nNvlpP
bTNZZLIacHndRDKo8qt0Xkhdi/1Yy+qU2UH7hCsBzuvVnKNrZIhItMYfswrm4qpr0odZVMWHJMoY
ZmnOFonCgOXf0IN9U2BPe7GwM/0AK4LDZ5bik0uv3/pQtxI3peoObIUsA3w3ZMBPfeE3Z+lH07mt
XF9hjZjzzYDO4oZuWMR6jhhNrwY7h8AUVuqSDIFxrnBmvFNaUi56uvY/UhKq6K6zcL/UhCtla9/W
xxTFT7XUGrsgdk9XAXwIcLEqJ3xlpMRzNeQJhV5SPZRD6N+EjYyyjfDtj9yiAaWJgHE6hF2KfuY2
HeZDlmmysGZaYItyFhFcH9RHYz92sGlVdFTYrS6ZxJRKTm/feIt+gAIylXO3h9NmrZVImu6aYNO8
IGMddinb13OURWHHCh+7KVditodmTrNvFceltdZVt+NRjfB09eatalOBqi2D5IGqVYRi2V2zzpfj
OCGSkV7MLjkyzk9Nk8KAavjDkrVPesAcHa1h/GrN4atpxZNBCbDI08TE+uSNK7+ynQ2oLrGsyNx4
blQUHXAHBjepEyVfgwfIidibZDrT2WJnKDhYL3xheT0qVZM2aJMACRnJLm0R9KJ18uwfeHd0+/36
Esz4XY3QdoydWK5dkBgws4aE0h5pESglA0rYAg2MjZqFi6umkBJ8fpYNRPllNuuPBAZMthz8sbuM
oXc7xJ08dazBkssKV0k3tnR0sFQeh66e940m7Ian483gtxDRLDCmUJhkqAqmEXtz5I+rZprf/Z4+
XLSFKfPmNb6+GLVnv2Le5crZhtHd4HdhxgWZg8TzZ3anpSNiotnTEDuFQLm75CyTQhPI/FVtzifY
MPUxgNmFLqFWn1M+0m4rekHEALWuAJS/tGvdhcuwRDFT+T3PgTDlHmwKVTOYbgtqyMiW3GXWuHWx
34GmafMVmhTQvVFvqXNriXJjIPWDnmBFBhF2kfmAY8D9TiuDqAnIqeQMgZ3az5jvirCJb02LviCR
ITk1YG+fQuAyHQxbwE0TZBPfr6Yd33inl7PlMHT1NXdsHByrIXgFyuE9x7PrklbTqGXmzyat2WJc
SfZeYh+gTPhD7658jiuvgwkvoJBFseRwoNbWOOhlMgDxQlajT6P2M9LlDDGtAztmWldSX93hfOeu
G/RwBIKTfI8ajCsqh3VrS8Zo+DnLp4II08cIl+e9EJH3zLy+oiRKwgKHZg9W14+wAuduig/cKbur
HjoB/aZy66GbyoB6NgmXlEBqb86Y0DBoXvESV3BZnQ3lEidRtwicsYDwyFlyyzaNLDHxDL0UIGzw
/F394241De8so3VH+SsRQAaV5mgPF7HbM4X25yv5SRWbNvH6+85ELpdzvK9YTf1aU3ZZyM8CqUn8
AB98rqsqxMZKimRcNTCotHRvRqesdzrDDu/Xc4rpv6UGauEqNWGqbpGC3WLysZ/MMVyUjfWeVO63
AJE4ilfQAAjggGC7MAVJzm7cZTflJxc/1S6KYuMe3om9JELYPxSTzk9Jmz2W2CsJCB7iH7VpmQ9e
g9UXWki4hyAzr0U9PISWBnAXuvpeF9qAlCaz88hOiiSivArk+3sABdGDOxfFFrmQuyEcGvtUHdsn
XTr9VoLbgSVVlQuGIW893H1AFbnYjnhdgGV62x4mJ1T17kdHtfI5ATK0lRiXSGbBIMvZIyBFQQ1W
xd6wKjgs0Ce2XgxIMg+9DpgC3QEEY3P82PXIuJjH2nXJd8ysa21M7XenLeZjpLV98fuukQvEtxBX
BCtpSf9p65BSvakyQ9TY6yx/bclLLUn2ALmmhmUjgVhCJFCohBktK4TB+dFvUIsosQ7S8jwkon8r
AvnZ+yLa9mI091OJ6BQ9nnuHV2hZtZCU5m4nFPVd1UXOsanjC73fitlBsa3i9K4SEjSCmjVLE+Ww
pYuRdv4wHWmAPWXwDiJleEsGD0srSWj2EQe0t/GER3heqSXG/NPukNdmdvM+z9EN2nOsh1FSYaQw
rahYMNu32A6E3ChJCUTm5t6zplYtqqAmbB5ILDc+cu2jFJDLGrS3C1gr3qKySfP0TbRp4bWckOi/
30s/cI9IZgm3r0get/txE7Hm4v6LMkJlEvlRFaXzABeSPPgotvCZaWG5G4A/3S6fJuXQa6nigxQJ
6E7QjvKtGUwRfYMGkvF4NgrpIza9RxvwKrUWMQ+LbBrWGc+tIijcXc++P5G1GihaGU0y3YXCCR9q
hYk+6QPytTzf2gcS9o9fW4daWgkDzEHraTd4c/It9BB8UvlySzWJWaWPIsF8/F/Undlu5Mh6rV/F
D2A2OAQnwPAFc1amUvNUN4RKUnEmg0NwiKf3l9Xlg9p9zt7bBowD+KaBRrdKqhSH+Ne/1rcEE2ka
vidZzIPYch1/ZbapER+9jPmEdJ9nQT4L8+IuTID5Hlhn5+VqUexHWNDmp5L2ZzzEtLlNLZTIxRsy
gFW8Dz0S15fnaYjpld6E+3waiwc1ACgFrT3VOyfXaJpTXAPC9DLPf5N1qS58WvezgFETdSJUFVZq
zs09c93KbuaSsrjBXgXtYoGXdHndlya/aobBkWkxlrhLAqN7RSjuyKhOpNfnwb/yPRcNH2yAEIPL
06o8kyWEpSvbGwfQbF/J99QkMsue6wYkZoQb9wYj8pF4vvEgrAu2VyR1cudyILnmiksh8uYtEzHh
5j6BdbhYn7QHXhq6bLkvYbSwXVraqMrD3ViF38ZkvHfb+VXENB3TeMoxgwLN9jBD202CZNiJumvO
NK1Qqd5xoVcZYmPi2heTjYVrnn483pAFKlleymrDGMCkOhhiTqJSj9WXHt1y1Qmnx4CZwn1Naa3y
Y2YmQal0jY8lXsmwnx5A6g1PCdE7iEcOInXptuccA4NZFte9Y8Qba/attRWkiBR9E8evzAsVACTL
b9d+4ejDSJ3xt8zK+2rV0QB+1ESCAT+4xQXWn7EWbgdeuhUADVYVqwC9YMmTcL+YllqbjDo2z5+q
OZtl7T60Uwj0dkI/zUyD5Yibv/WJYe2WkScu2up8nTVuBzhn1q+Lz9RWrVhloWx4XCw3Xle9TpPl
3CWa8O+2H5zlmySKsFecjq/BCnivS6stxC/WehyJtLtq8iU0r+fSgODp+3wM+MGMfFfhK79xkIY+
mE2ZQsCXnTOoiQgVfH58kkbqW5vYtconRjjCUxDfioXKzMoyjyI02Bfg2XyqhnbfKTkRE5ieh54w
VN8kTyyQd9IK/H3JLmmjNNxgc1mI0Ludi8adGzdOwkqR50r2BDWrxDEimUxGLrSo9MzuR62zs2z9
IhLZsvPtjqrqstl4xcQrGyF/pYMMBT6VdBnAYe5x2qhI2DLZhktlM+PjhvHWws2+24oEOaZGOe0r
5s9Xsw7RVj3RHtzcbj/rAj12PWM6fpqyLs6iqg3Hh9K1QDO31lCAHYbrEWrtn/w0qJ5supu6nUKs
C1emSDQ/l99GY+0ld2Taz4NPoUs/yuyKzQkrB7sq93MXlqT/TQUTgACJvtfQJPcYzybq52G37oPC
JEFSk+TktJLnrzlPxQ9tgR6pMdc8eDIe0YlnmR1dLXiEuf54OxSszUY7ZpBrbONYZjZ9ckHbiENn
jwLTL4CtM8hl82pcCImzQpOghtN0XsjdlACTOIrZYg23gI2FYavnotdgeQMdbDJv7HZTYFFsFdoH
z5e8BqfU3QGP1dQReIN9zQRH4W7HVnFct62+q+VnT7v6F1kPY9X5yjgVlxPvpO3sHr9ec3bCUUFa
LfPbHCvynlvJuQ2Rg54FnJlNEBrYvUddM++5Q2RrCBJu0cwrkZNyY5dXnPA5gbv1R87OcTsdeeLO
q5GzHAARa9p5sFmjpYETGxVtbL2UyA0gtXy1lkWYruvM8cD9htl1YTUulZy+H5PbaHh5FDncWCVc
I0onI1+VqZrWaEjO+kJnhQdlDK9UxrkPFtfnXSppkVWJM6A76ObexaoVNeyhVrx5+nXOQxaBahQH
E/wwagopl3VQuOAFKlnsyD4OL23Ms64xHRb6VBb4frSYOX/jylAphMkaRIBMfMixfpN+UERhv7lj
kN0sNu1wrBONlY1RMWpywucB0MiVbSYen1QJt6B2lmNqBLxykmbktzM1bfBuTMZbHSxfyeg71zS8
3HJBodajJq2qcshvU8OqqEjIu8vkINJqPsMMkuWOhEGvdg0Pz3SVdv2457JuOT46SKZTFaQHK8+S
Jx/+0HJ5EdEY3YSku1cGnyyWAR2e6tGK965fdR829m8HzT32neGmNarlUJszzM/CGDuo4Dn2mXTI
4rsEseiBqyt7KWppvU62g4Hd75MNkZxkGzexvvFqvPatr5gv44XWJkBM5iuuy+Gp0PSQA/ZpkcO1
FRzSzgYUH3jJV5joYC1js9jAKFkeWrD3p7qqqy1vi3Lj+V1/RVJHMo+ao836xfo5JavV7NTt0ciZ
vuykLK/oXyFVMIQDvJeMjYkug2UL0kmfEVpgn6eF8V4kifdMM3hwVTMk7XuDZJHyIGDOGURZa/Dw
yM/qkxiVfYDcHFuRb0/A2FMrOwEZm2+5IkuO1KJ7a7wx/3DCEi09TfQD8QIK9hbmHbleWB/jYFij
Gkf4G/lngUryuECTVpAP4D+szHHoH6y56s+iaFr3bAb1eDXA0ce7ZExq4zJr7dssZYNOa9jt4qQB
k6RXWfvQSsuN9AY8KpZE1YPO+hiPjn1OZcNBhPTVVVfaE/czt55MepaYgS6f0q7CQmJgodJ9c200
xpNfG18O1s7HShrtfaNEvDWaObucaptxJbLs2TS68WaB8PnozMV4bwCuBg97NyG1bm2Rq9ei8fpb
13LmVwNC+ybHiHJ0mixYKT9WrzxWXj2YgNeLcTkfTFVxdgphH+uyN3dlAnE6gcy9it2x+BzHuN+2
k22uumrMGFVMng4YrPbMhhkwEGkPFAr4wj2Uft/uxi7Qb1XSdktEqs/+qByD81h/AUmXnJOPMBaS
NeBddFlBwqX3fA0mR9lAKS/WiFoFPJpAIlbSQ/fxKAlxfHUlpxhikGdZr24ImBpBc4yrqM0q6w6x
NTvCJXNgoQ05f6o/bxtpFodElc6t9Nt+U9FKvobWBx3cQtLI6x9wFbbezDujjNW84xgN5mlxBDmr
HCpcfEHptB6qsRckb0GafuJS+gpQW1fQxrdZbG2hAWertvdAnbfNVwHiHqiJsauzrowqAPCyWAQ0
kBEYUnIiVPU8Kx47s6Yxs2QxZFiLyd443XDLrpQl1mPmW4dylA9Lb+1xDK18k1jnApNm5U4ZDgS2
QsCWZxZZgULuIfsXJbax12Z7RQPzXuULWUDU74Uys3ukLrHvgznfiiHBjyx1xjCpVP7Nl0u3NSAx
XoPiKB5s9l+Pbs3E2OgMKbxqrN2/6gvSt2N1v/EhIL4baSquGYHNrYacuKthTjz9dMz9TydG/hfR
EMgrX1y1fz8J8vheZeW/nN8/1e/R519f9mcUJDD/cAiBMHyFbnAJPuNp/TMK4nt/2JZJSZTnmAFv
nksi+lcUxHL+wOWI19b8lQbBev8rChL8YWIL5KuE8Bm5cCn+d6IgfzXBXnqqLi5YmwD2pfL2L+bQ
DmSY8oA4bbJE3lpxxcxJfJgyxYRxGHjYUFyJfob3SgF59Nsn9f+Khzh/iVxfYhqMXwS/HYpK+Rv9
xQALDwBvlS/LDfE3vY8HSFfGABqgm4HXDsofOKbl9inrx3QHDDaDNWuZHzWAoE0oZ4Ko6SB6lh5a
z+fRpXYck5p7rDs9R52bOVdtxw4s6/rw2sl6Ol87nq+Y6XSy7GMTQFsn/TsUdLe4lhXbz9aDa5Ry
OPEJMZwZmkG4agieN4J1GTk/rwchXzG3ZdBjGhdGS+k5kvdJ2TtnX2jjkYKAfuGudvRdtyQ2IOne
ePS1mFdsFnACOMy8ZBTEdVKYtOGyyX6iRU9Av4wJmYN0BDfhqZ29mO4x5Hi9c7MMFVMIgfGpMy4F
C35qFHvht/bJR6yhD9vI1HQw2FY4xzY2WrkTvhPvkixERAAMX8B9X4JvQSxyZ1WQbL1HY6DgndXg
Rawx+NR6Z9kvY96foPIYCHB4n+7IEoxfVbyYb6wvevaSbIIWyudqvhSJdnqd0NWY1YKpeqid/kW1
hrshU8mG3B6OQQ0eq67lHtMTTv4Osj99Md88ZYbXphKzBzxwhvyuegWkp8hVdiQYPHOWrub5rCTM
RtUVxRGxu9qVqVfs7CAJ1Cpvg+ZUEzk6pPB39g77dfJyTY47dkrWWac0WYyAxm3Fr7u3CvO9rIFk
eLWEvB/61bwrjPCGeMl0ChFWt9QCyGvHKHaNzY4ZqZJ4sE/9BEnfPt+E3Dnueh6UdVooVJArhF2f
jjy0/S11Mfz6WTZvQyXFgcDLHNWGTUWgoAaTw0P/4uG7fkHLMK9p+eGaTtxjYLVO1F+u8yGBf9ma
obh2aJp/HD3gYWmlhvXUN/0GAxhrjCqUtGnSMhvxG+wfIQWVYeS6XfEQwLu11iMgRAsEJLo2Kd6m
5bAOtXL6lgfKoeUD2oLJR2zSwV70Y8bdYk1usRVaV17kTLYYtxUtfeeAaNT3WsTDvenUGaYUMPW7
hSPzw0SR3hfczO7Bn/rwCQ8Le9QlVca3PLPnU4aH4tEpPBMnbjO3/llgFKk29TwSFI9Hl65myzDI
MYaXztDJzOB8zQUwvMNQEP4EiMj2hbYf+5R3THrfggDOlfbdhVnCCi4Tp5d/7+euvJ2qvFi3nAQe
eyAFe0C1h77O3H1ArEQPjINVN09bXHnOj6Tx5SfJk3y/JG52Ta4+PdCvge8hpj+Rj9MZz/D55NF0
M1a/araGJ2+yw48cBOzB+FmFiMd5VffUD62SvnL3hYnis86svr9mIgXJ4NSsreKSClSCKWez0e47
zP16i8k4+3FBYGymeqrva2MMHkgQWO8EyLxbS2m1i9OYj3AO+ieOKM2uHAn/DyDtXtPcbZ+Zapwn
DF7igP0xjKRchniNF7vA+6iKaSdhE3PWrSlmW3Fss7oPht46OaZOl1AfnpeBeLKbrJk2Ll/52ul4
F7Nx/hHHeM33YjGV3liUX+i9TbUkqwjEpg0m2W2wpA70RVdXeP5Vx/okMVvWmO4MPaK3jLBbz/mY
vXOlzUx1cbrwQOIEzRY442lMRXrHGhv1HDM66Md67Tiq2iifhelpkOzoNX5Tzp+C2eKyMgsO4DKs
by5B5VvV6fHQkip/6R27o1fUGCeyvvWUGZs4xql5RGqOoWAvFLHGQzgd8b1NzyqvB/8Q210Wr3Fp
47to87JfIWcSu0+y+b3OZ3keurS3aUsC2T4ay9vCAtRmfOCDYT4xHmriU1/IM+Oh1026mZgxcMkp
MDbRMi6Qfb2lql+5+HWyqfQ4J6tpgZiwK2KKTSPltsiD7TR60wozzMCogwkYvWaS1tssR2c9DtgX
t1Vq1iLyVDu8GfXUCw5kUrxUQpqvbcYB1Gw5YWcKcRMOebgO8S9sIVaAjSV29tnjQzqb7RzmO/BZ
dFZZno71qtRxs1sSkIkE2Sjwatn6NZzBfUoEQDajVwhu+qgRiFNL3vEDVIUukqhK9RRHE7WukraW
vDIiuk5wWmgleF5gb8E82RRI+VGcuIplvefoeRsUkzR2ldcEBsEt3juB4zbPvHriZI1eAxmzmUf5
VIAfOBaM0lt+ZfWKTdywFUU5n1rsyLssCWs4Pi0TFOo2qXIoysawwhFV4zrq1QqrLlECyo1XVrG4
t8AaCdCFle/c5ONIQk4g1CaQ50/V0k08TXV6xPA87dKCtpUI4nFer7B84ZkOpZPe476jNWEiYmBE
LNjMy40Oi0UPYNASglWf+YLpgX1LRjU6fe79jw6K343WBZQAky3kFomTk1BIe89rJbBIB+BzMbA3
O2fw5tsUa9+9Lqbk2RqgIzY2G80YkQsFI0WAYzByV6kfdpd+5vSm93tuW9szxFPZ0PMD0QPQbZGx
HUfDAAFspZ6pVwHZYRjULqlxnZ4WbAFlN/JCVm2/E2aDgOvb6eM459N51JIvToGHnO3GsG7LrHTO
YrYAL02+kd3PAyz2RQzmMUWBZE2FkbAp7wnE4kZptAX+xMNyiw2HA+wHBiJ3PXndTYHQxPSDwiBy
yffjC70tg5p/NTRTs9OFZ68qFLGtuGgkuOPq4HZKG5bhXo+/bU07jo3RxyMYCsSAdu1QEO+Dn4k6
4nEQ+lGNqT6zhpkBzWWGvvdstqgRXF16TaaRH+hgp8DVI2wr7CF71X2pRQdI5UE2fJAc7ZZtNUAo
jsZOyr0/2uapKMnTR21QZhLsub+4PFphsQKUreLpUGee5I/GUQShg9D8gxA0kfXLoNVqLAWuZT9x
eR9KlamXwe3tl6k1S0goAS6Py1EFhoTH0iMyia9BwGxN70PLAi5NF0/PDKMgkCH9FVdJ4FCtNdic
vjZdbzZPtIT188aaRu6nagnD27aX+lyY3bjval88kvEN96Zt54jBXvCKjbq71JmpslljXpzlIUYw
KPih2TIC3TeVxCVXgnps3aL7Cgs7S7ejxoHNGz1fHlzHZaHCiR2sdb3kprs356Y7EWNK+w2FAM0p
ZZf3Y/ATvk2SW/N4+b0Inqt92pUrWkt4iGXj5BIEaKdyuqkrQS1plxhgM+lLGPVGJMYS3xC5DOo1
gRp+63LRfEB5EWblGgP+4G7dJbUfxg4jEUhLPzE3+Wjb4xXLoDHYWhalagGO7is1+mXAscecOQHj
KY2sRRRXFAWEPac1O3hkM2i/+KnpUcsR5uOVRTbvWFnpTPMaxnEe6YX/tKAN18cZg3QbmdnEsrmY
L2uwIAs7jqxylkcNEvod7Ec2r1nZ+lj5TI5Rm8lmCl7ZTA4jUBSPrSu/k7C7SpcYzgk198/dUo7Z
CU6kF0CDn5JD2UADSrvW+DItvJ5FbFExZfJWOUAu4lHcQEV+dSYBrpfG1uGF37a8FpZma0aDwHBw
eZgDlyztoxYJWyc3Hk6s28uMEEPTwD4K+T3xQyC+eWI+S7Y76dpPkxgmOMcjxNywdR/RrVuZ/JN5
zLrk8X8PCgYu6U50hQu7D0qfYBz9PVxX22pQZSbAbVpmSWNZQlSgfmgt+eqE1YPt1rxY/TRcc8j8
RmZH3/3jefCvccjLt/fAeAlOd6Ywzct//y3OWsS9XRWTMWwA3cDa17LG5ZqVx3/8XX5OtH/9W17Y
g45l8n3c8C9D59LjdiNKoTBsD8yErJQT3OWOEexFqgHhFKOs7MgO6/QTedSw1/bUllUEJHl6tebF
PYBcB5Uqq+G+yPzw+vKRAbMz7bMxyeXVthkU2PBCClK8F4dbhxKy+M/o6v+00vJ3S2k/fq+o/V+k
xzDZCSKff1+PuX8nwDOk7/Xvcsyvr/pF5gj+sH3PDxmZYU3+RqHzwj/EJSLruUA2PBEIrr9fagyl
tSyZwpAN//9hdvxSY2znD5M7JeSBgojD9eT+d9SYwEPX+Zt7EKsJRWIem4vQRzPy/sLMaHhcgV4d
+q0Jq6LcGTFss2uWteoCC2s8wgx0YUY9MFUiEnnOE6OlkQqyhVFU576j2COq7CTA5VY424ng2Mlr
GXUBHxFNWQGBl+zrJ0jRFOERZT+FtMljayUpULT+NOwWws9TNI7U0iYJQjnJHRFfK9xC3ToDRXBI
QwCSG6WqSu68JS/edDbP0xqJeqaUDVt+FxXA4Nl11nECsWj0vjttiyPCD6fdTMfQrS6wibUGY3ol
dUH9N+Yy2arifrRl+8HL3Hhf6rmsnswy9r6DGa5fbRDR3WqxL2WaFY6kdJuIPvkcoVC9lAHr16g1
wQpFcoIGucMlOT/0JhaXbHE7+2T6rXrDgAHlSS/zmxMAS46m2pRnCiYAOFW1lYMArgfNSob711yD
VXaY4vOElrGxYifKSeOyC0hwst9UndUSoARQ9yYby0nezRrbaJQ1kNs2qCcKiqfoujPsYPctGCwi
ewMwI8zhZKCu+t4pB/7QUWmg/OHoHINx6WugaU1jkTOkJYasO7U1asiJwl1m7hNFnkJerOEVzuQ6
/+4MqgC4KyQnvk58ppY1P4WKwBZgz5ghd5rb+koWmoyEI6knjHH1Pld9Xe5GHTQeOobyMZ8tbUNs
Wyv3OVXJ8Ny2skjwy4YoyK0Wzb3lJXm74SeYn8dpKG9r2aZ3MIHzbhsvQ7hPAZvtkCqS1xxomQut
2s38YE3XKPvEwFf6RQ1y7K7YTloGfhH0vi1nz4XGQjHm724/clIOGzpNjpYv6f9wu4sqtliAuiuk
0ce+HXE2x4G3kKcReTuuZNPTrTosPu/qEFHkWXmXzQNo4Pktxyp8yrMQZAdv/pgH/BBXkgt2oRS0
LzwGaqvLauj1VdO1u3jKHbkZ2gqoq9kY407QcXTqK2HfKaJTT0WORTfkUIFrsabOYhWOlb4FZu6U
lwwXOPCQoFDWes6tleoBohhgs13Z1xwTaYeu33ifFkffx51K5gJzohxMn9bHKqCbXTnDVRYv+J/N
mcLmjoDDJqwb7y3kUEZXGdmbdtUoSqXWclQh1C1pl1uYht0hQCfLt00HBcsETsYeVhvOQqJuSO4F
K0DMN2kevppT1r7kZhl898ZAHP1phMuN2QLEPSPsSjTBi6K5iRIWTivRMljiHX6bZ94kImk8GHAT
i7dwLtVNW2sgAIVS4qobBSZxXY7M+U4n1avbpP33NE9IaJf+EpSseWbWFdTmKmePU2JBwPJMvnNs
jviUkCP99MjRZeKkhE9wIttKZpqzDmxHLG+Ko2JWOP1lJySn60XPl45MaXcDtRwWyLEmDrjNU3NY
gqgww4IQERfseyOM7L2gyyre22Fafi6tsrZ5mDinmjuciYlcwEfnec3ZJze2m01TP8PMJT9qx474
6KCQQWPxPXGcNaUa50Q14zdDk/LMkT9XAB7DE2aA5IkrKqcIL+SqRGZutrxMlrdCLeW5TQL8kp3J
4iqCs2jvXGuoKTv0x4+8EzPUBGphlnRBH0tnCB2QI1V/rAZr9E5J6ekHHjZu9UjSKn4PciM42wzL
fAMfmGSfyOI1WxxS6MEA5Ab+ZmW8tOZMhAf9+oeaUlwJQS6Vxr3XIpNwf9MiYDefg9OGDs/2zDZ3
AdHT4FnAB8YLgUXf2CoyYf7FgcRtNgmXjsOh1o593fkLduu4ccGCWyW2oElhs1fcKYjBA+bHnFZZ
kpLfKFVAhkWEigZbKhqZlCRMMlK43aOMuLOLh4rHWYVZoGXhPhU4kKPLAAPNRhMyCCEZ7/FAw9co
DBsylEaKYUfrHvyy1a8DBAbojvR8bCyJr37fxYPIHkx8ky7/b5w9s7vTJl5dKrRCXveHYrZx7RVC
Sx5HuFk/WZT7N+yUnW8GpXK39mI1W6ed1XOZUMBxW6UDJlro/1iL8NvW38gnzHuAzrOzUpPMPj3a
WVZp1jXBxtBtiOOCg6D/yEA0/pj9zK7Qaav2m9sJv4uGvofHTg2ZwiVdNcMqm1m+4kbwqw3WsBLf
yrhcMLE6vlXdqM0NJt6EhvXB56klDMt76T1P8OIu4r2pTZM9bQjeEHn7oQj9+Wgbtr1P1EgOvVJ0
dVmAJ2VMKxWIR/XWLz3STlI11HKJny1Wl/vQiILSr0/u2DlkIjCB0Oaydrz2BR4sN+alFCvNCVA0
mRsfM6dT0P568Tlf6rQgS9MR4UoMUaNc1mLJvhU1Hr+49b9c+rhwdRo7K2NaHeKkIufbY2uJ3GQW
L8PPXi8Il1y1qduTDSSSMDkH4bkFDDzICvIw/WwNc42GinbH8OiaT8rFaVeJXyLlz13QzdGcBp/N
z2Yym/TKcyoDQ0eSAgha0ooymM+ay+czppeIfMPIUUekZTXgXYEdI4acjjQaAfZFkhsb+9KgBuFk
PBJUgGDPDdGvKbfKGXZKc0P9kH9fYPbakoIuUbDD4oO9kP0jyOLhrSQ2t5710n83KIPAke+JDG0p
x0Ej3Ng7+14DwyicamuDQEtBnIld1ztRikxXikgzUuQx4gb4yZ9Vc3abYZxogzoDHskFk6wrCRYb
UOJAf93YJfNBZoZzbq1RU/o5OxRZNJZyXtkAFfkh1E7/FbQwOyqyMVw7gSwPVdWTkOeJMPpbZ/6p
ZJXIurruwuuJyMrJHOxlWQ2WSr9XsneuCBfA3o2JEnxn/0+cfwjpDCTpOORrdCNWYcoIWAMq8I3+
jj7s6uKZUpxDE68E6bm44D8wqObXFkE4JJzC8ckazHjlqw7jod0EE0KQ3T9ziNJZVMCj+6B1vXuF
AJtekfsPcCbh56EPbylmajBD0pGgPExj5Vsu7pDesfIb5VtpGjmeO6ylZ6R6bRXYrQnxZ9XB7awA
JZaH3Rbj5+Xtp30qlM3Z5PvZZaWv3ZLbdAWYIFhXLt7kKdTNs+M5vk89e9bQdeD7r/nUqnxfWymp
tVwmzTpg7YFrL+OPPGWNv2TU8cXJ9Zz3xNkdu+f84oXtnS0r7z7uOx87ju0RaiVxTHi2UjbXyeiy
hCscdjDbsc/XxCto5xlSfLkGB9M7qhonwp98PKs4RcvEYabdZ4RWSqVI5S0SPAsI902Q4up5Sdy8
+bK7CjtZAeiV/2W6nI5y7NNyF6uhfOegQEX9OC/JKZASZ0HT4t2ImDiSalNUGboHDcH2jMYmlmHN
AmJ4LmKBUZJ+jeFGETk51mocN9wC3VelXOt+Ksa0X1syLO9SPRtPNiurZxI07s4ew/BLEYV+WlgC
HgPXNd4WkwUkVuVc301Nrt54/nJcEO2AGlUFPX7LWlA2OFVmcDDrZHkhS0MhnuIdg8BjXnpkChis
PATMnJ3ckGFRE6GDqo/fTGI/JzODs8wgoA4cGyATC6CgAo87Wm3UjKlzIGhM6xfWMzdbeylvt0ik
abvsYoe42xWVT8XRVWh/ByUuodksJye8Jm0Y/hjrsfrou4CQajmp2t70zFLPgu0JRWjpNHfwAdMm
MyhgI1V6Rc0HERfHyCWACT2R9oos6tKN9wZSDXq7XQYNLb10VR3SOtfDvMKsK+FdoAYEry1b5eDe
pRul34VcaZJmv9lyabqO1bsLAbZfYE9sp8tqa5hLCjFs0RAcwHBzwH1uc2Fqgwq31BskeQFHjM5Z
Y0VyI6eBD4Hb4NHkfUNMK17iuyLkTHBbYppho1PokMV0KTwj3kEHUeB+AxgBsJaIUK8cJD4mFTy6
HbzpOm3b9jrVDccj2WRKrG1LVuI85E4dX7nUU6Y3RGWUd+NlFBfv8z4b1iwk6rvBL1rjFLicSR6X
0rT1LmwX19liJUizg4t1Ln/FcdBVe5fOx2UrC+oDvlV6Md/DLC88NEXlxt8uMkoc+RCsfA5JgxPT
GYRrrMuikaX01u7mNltZl3hLevFfm98cb6TvuxuAF6zaWNpwedwlPPH6bqd9EVggRZbK6jY2Rs59
Y9rFbsDE73IM9OaHtB6q6kASMTeR+CSdwaQ4sNg0wp985DurGehEsVljIaAb6yGZvN0CpDq+gr02
q63MA95dgML8+Kpu6Viwo2ywiXbxZqCZ0DC8sn+bC47bsp2X6hpPtO2vDBBgaLtkwwJ5VZu4G/Zx
ELKIHtg2p8+8pLz+IOYB8pEyp+k0TtC+8IHiiqieWIqJ/LvFPdzcEbFd1rUnWeGSHyYAZPbeeJu3
YfiWc7iD57QMdP31/HXA9hIgADucBP6IZVLocgNa2gclb/jD1rc7BF0ddMYRv8NbiEjNidySyW1a
SN6J4Ja/Gc4cplFp6ltATff52Jpq3WUFrVBlOJVkOZ0R3vvsyXRNtqA92kPFa6omW/BDo4zaB8vH
47tGYkDHH8p0+VgSMAyHfrISDqzm2F+18I0elNV6OAipfWG8XAjOOK2BAVOwxkh6nk112BfHhLJ1
m1MLvWrU7i2utyKMPX7v/UAhapsB2c0G1zhWU0bhcp/1HZ7RflySZ/pk8HPKgPqaqMwS62bxnNK+
Ds0aqhhfTW+1qEfTYMXYYCZpqhQ0y9CZ1LQntf/J1qrLNnNr90892ylur1x275Xh1QfCZgaZLD8+
4XBhtzXQSedFQPuJO+nKdW7cMnHu26wRu0zm1SHH9aEpN+Xj8NjCHLkuhz/XA0A8TL6+8WmdmnR/
kLR5vCespp6XJRteljYBn2Hlln01EmM8KBpdrRVwopIWrdEnstZVgQmMxTKrNRo1W++6zY3yDNet
5bnkBBVNQvzFntukCI8BFlGSM8VFja6DeAJywLCP9T2GdzC4GbkWneXmuJ4UfZFr3Gre5qdk9/9N
3bx8o48GB1yWpEP/Z81O8tWs34f3v/mXDSdVkvDqq1vuv2gMHP793/jKX//nf/U//svXzz/lvwAV
9mzEvL8vXe6a999FywtQ+OdX/JItxR+o40iTFl0YyJceRq5fLjLnDyDDcHatP7XJi7/sP11k7qVt
x8MW6dPfwZEG7fSXbmkJ2naggGMwExZ/HJ0b//m3/2Xd4oP789P49e//iPR7+cFMD0AmMWaYoH/t
zrB99ltuOU2bPEmaCAqc3iKU2Cuw4hfceD7/ExjlZRPxu4b/5/fjG8JNBGZ8+TB+XxVw46DnlNT3
aYE3iU3KD1ah9CpOxvxPliL2/wU75Xu5genTNXLBf7rUjPzN91Keazuk3qcNXr4C46gLeqJNUosb
1pbXBePbtdIOcDp7gOWP5ezTK5vxFuhbcahCgcTVGjDCzIUFelQA/GabFybdC6l9AvsZWM+zh1Xo
SpkcGZdJu4hVlh+zUCPQgZqrATVHk9N8GbG6ZIUL65GU+DBuKdVpreMguv8g78x2LEXWLP0q/QKk
wAADbvpiz7PPU9wgdw935skYDHj6+nZWdVWeyFSmWiWV1OqLc5RHeSLc2Rsws/Wv9S3zNslFGy1b
gFarLvWcr07GsJBQY4el3+b9N6SH+CtikaZs2rNXVZjPt0HDZJ/O0Cna8p5NlxkJm7tUzsaRPZ45
4MDt6fbN4oBfBbdx+OL7v2+pCf/C5Y9yFMQIzcRZAL7wtvXMGrgg3MAGEL0qYgvjKKbAtjeo7yIF
GeS1cu9F3A/W0NM9xom0nORjCeGwXmWpHVK4Tncy9p7ydhzz00j7HuQCc1jSOPrK6yllMi7u4O+V
0JO8Ez1q7N8CDGdNrZqlHRh0TsfgnnFvkD02JSEaK2B4ZkgfEyBZ9LVFyO9Auug1CUAbFSN9FRPv
X3LatK7Q7XbpSDJv8jagfhZak22N3doFADkQVd4i6dwhHy4IH99TiUYm0KPU2Brjre8Rrc6LYC84
qy2z2ubHK8X5z4q+S/TIhdun/MPVWgZtcQf6JmDozGYc7cxcSYcfLmQBjN8373RP+IfKTR6dMnqP
RHYuSlQXiu4/NHbmhQVaj4ivsU20eVdlimPK79QzpnKhEz8gNkccfcRPtw9PVubtwerkS6qat8wV
/EWice+J1r4LyYoQRbF+prLY2PiblljPkHLTb5NqeGjU6tXlf0ACuNh2+s1k91R00QEZiirgAQfT
EDcPkZJbSjIofmILEbKTso1TnLMc1sHEfUfTKmpU2DTRKbUdbZINCdubpnMviVG9lpyylti3KT7W
+dEM6Aft63RF66PcMOxuF2rEUUedXQktXAdrzAHEE3wUORLInPccBDJ4lBc7HD/isH0ZI0oGXIEd
IbPRAGRoPIZ2xOnbM1nhHNJQBhZA4VWrKQsROGR0jEJ8HFKJV4RELoDYNxg+PCk6+QhdKAeMYchh
kYjsPPLbV8t+gRGMxVkY+7YijqZaVy/5Yu9iJvvLsIK5bOR5S2aUBzVrxPzYGS2Hq9Z71CZXWnrg
Zkq+B446H5SRV//D6+Yfl83//f/QVNCSlm8DTP3byeDjV/7OI1P+yyL7hz/5H2Zt6zc23X8E9//n
Muv9Jnj/O9i4SRG7dET91zIb/IaPiImd67iCt+AVO/9/lllWYMaMQQDt2behlfzfmbX/VF0Hism2
WPc8i946Fv1fFr4k85PWBqqPMam7lxyjdkU3UnSEU2sTGIX+SmmWWhhsCXa0qU1Lb8zbzRBLe4d/
xCayn5bmeuCsnfJ21O4dkONuY81huYfMVOA+RoTxwkiebT/y9nhTaIvhYPBTUXGxYSVKPf7Kuvto
k9CEp2U6lsmTmshXnKjxc0cL77mpFPbPXpBnAuRj+kcq532yPppiHDywQb5LU1KYOEDpFe4dY6Az
WYNlnRXGB/+I0Wx4lYLkHFko3iB8HABaBxaanQITxNkL482yoKd5j1U2fSoLz6mXZSM1SkdOgTMM
OdorKcaCPJ+NjkMuzLFqgJJGQK0RFKUS/d9zn0plDm+B6dMAiI7b7esgDR+RFYFjCDMju8ZoJ75c
WTSMegxeGIsutpMbiq6GZ3VdtuiVTcwjOhOvKD1dLOZWhPpa/VmZRcH5KMfF0OZtewOQ24hXusyH
5ZRb7nNowm/tbNt4jDPPfDUqApgLXjTDnoVF3w1hBKINAtzPK7bZW0ZyvP7iuc0pmd+9jzEqV77a
Vb2oTiasPyy7Y15+8AIFoxGbGKfwUAl+ST9gVAAWc5sBLb1BSsaSl3nTtAqra+TMN0jxIXwnW4Er
C3EIYqoThz7QLU25VGuuCY4aKUJTfN+PCVwfeHrWYmxmDHggIMJl0s/6PQIid9CTp8/cUH0askfB
KiiLwVmzS/DoZQpWw9hiaDKtAU1EyZ1nFMlzzUt0hajUHC0DV5pheAUqEUVZHpLItioqmlg64AVx
kJlryODRTvYFsVsHRoMwYCXS9mD+gO8zH+BTUPhrl+l5SrlRVaW9jy4rx41pj+0+q0S8K0r/sWn0
kkg54Oi0j28pF9c44FT9xGgh3MC/dd4Tq5+OiakcFCc4BVTIs4NR7Ytp1m9FnAAl87BM8TU9Q1Jk
0AszpMTOGbjJQzHqnaLGqhYcvmL3IOtN5M2Ykcr8ir9gQtb0dQ9mpKtpXxICuEpNm/ojz4F3bi1k
xCBzJaHYbkwPOefk19Yz/UfE1SpbVbZl+4A5ZJIs6vFKDyahND0gxzW7jHvqYvLxkX/omI7iWk/Y
eYKSWBSVdJ7L1HcubuHbO0tdZ0NTQZQo9HTyDfSn3ihd4E2bxrD9YKzEmB16W/DolRZGui7hRcEA
T9Fe48rpNnaS+A67oVxxeDeZsBAluq3HJsJTi6P9foRQwLI+Ec0g1zK81UnKkD2BkjSZpXth0otN
U9vDzN9EB3I+9NZ9IBpv588NZV9h7Q6PfjCKJxq39U7qcfoI8qR4nDpRqZ2QqfPB/Z18x5Lc64IO
lQaNZhLxuxXmsJQb7AZMNGLPu0mdBp6SSfH8wqYYodlkME23OmqYRV4dBNua3e0NSrr9OGCYOAA8
Eg9Z0donZTBlRaMs5W2c9BbtTbKBEakYdWx7s49uZp1adwj0cpvqpDsRwC4+U25hvtXQFs/497tT
nrU2Nqq52flQao8WzuxLWRZovLmaSoqV7dA8yrAmbdjo6OhaQ3qy/AwON0ceeKfKsKxHw5W6XXsy
p5UvtbwLMa7izleRee+IUdRMf6QdH/DIeU9RXpgMrDgTf+q5mpdmwSzPo72jAeTRLGXvH1IEOJ75
FFGYue7ABNOosm0CmqRdZwkdGDZlKTsdlBczVSDwLMM1VrU9pos46Kzd6FvFnUxBOrg8uOvWhBaj
+K+FpefyoR2YM3REyoDmBTcDydhzNhb+JwCt5KzZaW0sQZNXw7nlGMlC7LwO8kc2N9l5GFwIwmUI
CaZwvSOeX75DEclTGDSUHPYp1mKvLY/lNKUzsZterwGtfbATrta5ZaidDUrzBSbRRvr9Syrzesuj
Tzw3k+u4ERwA0mz46VTJV9rW3lq2RDTj3EqWQ0WeJrebQ2I4zdbtXXrlrORGGA7FzqE07iyjRMqd
o3IfGeHBjBQzQlAz5rrLjel1qq9hidCK1J0IMRutosio18oRK9yGj8ARx01BcnlTxfVrbk5iD0XV
WkmVfFwN7jn4M+HBf8P+stKRgzkBc/646UJnuLcGJz2PwF+wXdfdRQlx9Hz3Rz/WOzzFsAtaJgSY
iXtsPaOFl1KcKJ6dGeERYqUfTgVEc2guQOYjtHwU8AURzDG/xIvRDfNtEpv8I/0xxbax04PKQs5/
oTvB4p5jjHlgIGiEx9GiQdep/L2YclR2kklvdl5zPML+n5xhAA/bMrYaMBM2+damy9V2brSPXdTx
2ScMY38s4igrGGKqaNVOs72Ye8P+4igxJFeyJmcypwbu3JpGlC9r3dOeYtQt60AiWiAdZL5LiFp0
F3yWVdvfeLLTN0kWtwtoIczvNItYEPTkr5lZV5V/w2VJBiPulD7ardnYyzDodLW0Qj0+h2H8M+B2
f5tduWLbc3Zjv99kbZO+80Js7gHQJTAT3ML+PX/GRcEqMKHq3xF8mN+MiHY25pIjTF4VXCswZ9LV
ups4eip99gi5f7Qig5PMD15EVjcS6bfloigMD9ZfrZ4qbyh3zM3WOU7wA3Jkf1unYfRMOr6m1lC7
3zTx5K8MZ+qN8GbySH5eFskuJ5a102UARHogr+Rz8QOzdccpb1kD9Ba08HBBap8PxECd54QR+2Fs
jfHQEJpaYb4y93XhdixInnsipkJ5OAO3az6cz8olbPBJCYa5g0XSrmwm0xsAFoifAGq2GciDucue
JpkByWem4rmavkwbNEfrrjjOwq2haBxbAm2nvVZfHPTYz1Xciki/DBXwqvEipjVSFytGDitGF3eG
3diHqtLOPqsnqoWLsHp3eZ8tW4cthdsWHCH90tzUHWdzMYsOhJzv36FMWKcI8MGG0WV4LkkwLJIp
FJs6L+sVeI4lkT9xiYb+KMT0bVltzJiAZQooNjPnn33erp3ZnbKFYKt1CbLK2ZSRbo7dHMVbOlHR
yzWrSqCs4bELVfc0OajHYzIOG22NFzNC+aSGEOIPgDqmw0D9Wx3RinfFtU1OHdAP5460i9rjG39o
OCWFN3+Qo8aABUR+48RReSJlb7/weQP3c2QPz62uE29Tx5mzdiPT2AHnjg+Qery7GvsSpfI15v0m
zG6E6+UX3F3hHRqhfyqYDJ4GsoBiEdeZe8sTSoYBU746cQ4p7spIuF8z3izcZCFEm1FYF7cX8tCr
3P0K4jCAjhVcJYE4ebBV0xxdUzr4j5syeTOsojvz2sz3DemGVdt4n3gOgp1XpvkqIpd+6RzLf8PZ
Ab4kLamvs1jo2RfZaX2upwZHhUrsZF8VEUy62K0n3h64BqJ5LNFXqn4XKE/uDdeb7sM0bWdg2/0B
Q1C4Ko2gPBCGn5613ZY3YxG/Vmjot5Q/Z8wT/WYH8jnhEG9vAUFleNrTZuMl0loTASOKElvVRXkp
K10dRjSqMksHUQ/eIpAJmk/mvpgcZfiY/eKm6XnhsX+sXmPCZD+CMs8OVlRyA6vWwe/DtGQxRz2w
mBal+S4SCPpFLxmW1fP4GU55BjWSdS/0qZGiFgcCpMc6PgKYOVZe8yS7gTJKI2SXWchrfnR4Uyra
z6SvCV8C6iryd7Jywy0r6kjmgy3vynR7JAzmDaY5wWTHeLDwa/2ZJLrHG1QXh1QhMwzEYfa2a1kH
b2SCJ9rMXI0FnhFNr2tg4lSsKcnAQ/NTD2bwM/Jre59W/FVsYcF/6lx9ThjxjjkFoLCAExorhWbA
CLnaXJNUrTZ4vvj4HO3cGK5PKi/O1C1j0ZL0flV/mNwwlz6zBkTQDhFTpEiCFs28CWW+uw73EE2K
Jo6uKJkewjBp2S+k+XtmBTOXQuAX9H/8yWFM7AcG+CsmQc5iYEz5ZBizvs+GmXk6WXXrrfQqGLX4
4TdNYtY78mhMvpMgrwNIiwWHns63bhUW0GU4tKvWx3uKASLINn49kcYJNIE+TnJDsqxbvi+oD9kr
7lLNncX0riKORZqtJwPKlLdhSamg32L5qSBd+99UnqA+BaexDPj76245DlQWBLgJ2J6ah0wqcw3j
86vR405HwaNPNmUprSG5xWaI2JuX0671vWgzOaphclV1e/xa3VtjVsP7PDCHDBB6nw1XBCcKlcJP
gz1TvqDxiFiKcgFIycgh/zTAU5/z+iQ7p3jz/LBnb+S6e6oomi3+HioTgmk01ha5EHMXzO6oqGUz
CF3Bf6JaOSmCrbBjfHMAURK2+pW/CVXqf5rUWlHg0boTNI3Q+wH6gM5VA2zAc80W6SrkBZdOzzkD
6yHZTnGY7KSwx3dZxnSI0HFJ5qif8J065XwXYbA6ZO483hltixAHfWdYYnMWtOB6835GqbgPsM69
R1OYILzp+rVmfbuibuy9NznFFW2kzj4jU1wcXS3XfWeZQKCa6q5zO2mwYxnUlzlHw6MB2MpbtIPT
niX4vzX+NJv2h0n4b4Sxm63Xiu8kK4MD43+GxszJ7Fs/ssylxu7zzIuDIbHZ9vGqNtz+PHozGPBQ
iI0xTcVr72bsXGcPxyuPO2SWvIKJO7iXXCnqPeZ2nkDYl7oAZSTa28zr6hs21+m15AGQpEoFrxrq
M4Z7inABc8DOyfe1LPwtzmf1kNbsYRds4YpdwdBhFXCKOUF3JUKUl+2TNA3CU1d3ykSnAg4EwtOh
CplGB/OQ7nUp6fhu9Xwo2J4xI531K5aT4TFgF3rXC81qAgb9uRBjcggGK/2IvJ61KNTzxQWOizJZ
m9FJOal1LltQuLFFwZyb5u7erAdC2TNhxApglnTfB1Cf9ZUpar4X0spoe/Lm8cVhqIjWQlIF4aFz
zGZ9LfQ5GnMLI7kikovqa8wbGn/qM+t4/RaPYf08eDRtzbXDwcDv2sXki+oGJ7b/JL3MO/gg1BZW
PxBAM0RxIVfJFivtqFwjjpwMr0BX5ApJOr4JnZHOCjBMpOZ0Jt9AgNF/i9t70dV+fgRYya4zSZFs
jd5p1l4TpkyoZcRX67/DH+ENlhrbGdGK4gDO4FwHOTjG3YOwkY193q6EUDKKta/ag1XwLVkdYWtl
4Ei3czgdVdb2wxqUrfwwHM4X45yyXQoyiZ2UJruiQ7MCtrME3LnkqtneGpgLkjDNzwmQpaUrxnLp
jjSf/Pus6v/nuaktGXj+3dT05avt/tfiC2U3/+P09D/+3L+LuoH5G3sXn0yRh276RwKHjzwr2IVf
J6G/Mzj+K/Mhrnqv6THqgpcvrlCG/xR1hfUbY0cLFdb0GKJ6jvhvzU4RcgMqxmxXWJ4n5S/zRc/h
ZJH70t/i6M6wLqXBYmBUt0Jh9CFUTvs/fDx/Maq1rhVp/zI7hUFCmgV4CJ8IkvUvCRP8X/C3zMDb
Wpg1toyY0i/Hdpq7wSrr9QiBb1WEM9Jlz/8LTto0UL+cxm7/PKswx2Ep7CdGQP6w+off61cYiOT3
EojnjukKUCneNRnzh/gXG2vinxMvSS3yHx3gSlzHjMY4CO1E5xwCXHvbKrfJHiT5uIqns4u6/A9z
Zb7TP302tuUK3ILSYqTwy++Q+Y0Mx7T3t3UykhDIWhi1VlI9/v2l/qnhjSvlUl1aSAP4K8H13//h
Sj0+5DSeU39rV+7OzTTtJF6y0wn24Ea3+h8+2L+4Jtc2uRoHbIzDjfSvP00JZZlj6gfboPTkhqla
vkh7nFF/f01/msgTjuKJYNIhTe7hq9Xhj9ckwsxqtBt6W5dqHQzwE/uqvL8nPPP59z/oLz482o8l
ngWuh7bfX36Qa8x8otfbN0x45xdG+q0TTuIZFnI7zf6hO/Evfxi2CZzjuN9d85cfNvZOhfbkeFvA
4OaSVjNnEQ8iW0Hl5GSYyt3fX5u4fhe/PJuBYJhl04EpoeL88l0llu/Myou8LR4nGKgDsQPtheZ9
TjSc01ScrWomHZu402I3Vyn9C2YRfsicSiJdjs19mvlqCy1zWNmZxD1rug09Gbafr1x3nm/x6Bf1
yo/LAAMkdQjY/QrY72TCCIRXJGeXdTdbq94FyY70Ie9UUah/SHlaf/Gc48SXIhAm7+I/3Y8aw7N2
Ye5uozIW+9Q1/P00uPiTBvfJmEpcdGG7L1X07dmgLR2RiUf0Mf8fPuq/ul8D3twO3hgT+8wvnzS1
CE6JFBZs87x39pRIXUpTEhDibL/8+y/1zz8JjBPrh/Bt3+Wz/uUnxfUV5ZEGxNLCpFiOPVIco7Yf
DGrE+u9/EvLun2/YK8XJMq+94litf//3f3i1NIVlG55oyXQENFhng5Fct6PjLUrMeC8NbgTRdI8R
2iy9O92UrTrfxLELIIdBRcUEg3Qf8BePA9ei7V35gCTnvrtD4+804m8Ou72fHoK2c05dN1THLEYG
LhWxFtToPh03OcicJekbtLHC6/ecMPxdHTtyEyhMFDTzNCulAK/brmLf1fRmbhEXqNxwqztwhRGl
MeceFgrleNYIRjRu5ToaRrEaPCCQoVmk73iYi70zBHpt5jTdTDQCYf5tvH3WdN4r8G7nhhF9sptb
ojtGaOaIXEoecI+EZyulzjTr7HUOjn4fu4latvg6F9g360dHqJqoYVm/w1P3F8y1MBXGUxMu6YFF
iC+HaVOiEuwSs0sfDLNubnyzAFQzwjxBwhhn+ly03bzW4xCeAXGGhIzmZDvQYPmJlD9SmWvab5mR
vpS5gHafgZuhmUHdICHaF6+IV42ZoGcbxQ52JDZyNUTiHrkHxqYdS/9aKtbezGAAFhFJjm3bqGzL
5dRLfyCHD5EGRO0VoAheI0FR4C01nYIeiRQDTH+lXIqw9/D0N8k2b/TwxZaJz0TbdK7FNINWeIQv
TRcCo3Jt0eMecdoXqy2HZxfuc4N9vm7lAsJF8My2bYJ8xcH4yc8LZ9/3OHV004A+la5zagZZrKvG
JLaeoD6Ey2Zm6WfoC44BkLFT9dTp+cmOkJPalD7ft2gHPr7BaGHpcA7EA85xZ2EOVoJG7LpvcS1o
VoMl9mbHjTksfDOLbwZEWejIA9nxhd+bcBx4edA5p5xJSaAJOnjWrdvlz7YNN2eg9+SzcTkNLLzQ
5Y4PgF495A4boVURazi6bHEORatwzDje9xzZEy4eOkajlYn3ON36oqYeJCXvdRJZ0Rxm2clqleT0
5oYSZkYcjnIrZjY4DHhE8SFtF2ot5D5jFVwVAAXKhDNi1lMIY45nFE0YtKkTBduqMma1NLOiWPll
eMn6Mdq5Npb2xVha/L6xVpxvY7+TRHmFpFgVGNh8ElqR4bKaQxy4V8doWTzYpe6WWTJtxtqLHwXO
mjWKS7dp+d122qigAzdkN33XLPh+R8z2cuT+yGeUCeb/vdx4VWQ9D7bvHe2p+aost1knvWLagxv8
RxAG0mKDCsHasJRaSCMVhGYH8snW7OqtAX5l1eQ4uDNkhLOPGXUJMijGBa+IHjputLDbpHg3qUW/
pKWlGZCp8CeAaTfEPKsZf6eg2XK+4gdoqeYOpG6+1hMEOGNkFWYrqj4Hlx5PSs2mXaCNgtMgDVIN
J+gN7BSGnlC4xoEN4jhbzhGIf7oer1FD1aeITPUhchP/2FZ+A3kG5/5X20Y+E+HwKZoG59goK7qh
xEocleqCd/x59pOY3W6dR5ENQz9UPbtyRdDQdKtdXHTYf92ERwEK/iFBElvJms0xg8eY8vLh1feh
q/oV1kFWPbIPfd+TYpvLM52zEM2Q2OZVherLmFUR+PWMPF06fVqh57HxRo+/oGfE6yH15gcmpe2Z
dEjyMSa8cU1DEEYMrWTbNNl42w6VRo9jcEx/YEQWZw6eZOPM61FNxoq2jfkcBelrLwOEr/ZK2i9D
khXyNsyLe5OM8b6IC7nXvU0kKEtX0TwM2xy6/6aypf6CaNUBa6uzgi7K3rBex6Cxz07ennWID9uv
sZ6N2pyWwpksSqBsJ8IJENM3mnvZys0rvamcAC2V4/QitaiGm5UayM4wR9soh+k1vU2CwKXxPeL/
KrTnPrJJmrd9A9jDrXiUpWVuLUtSeK4r60zTxV2dqJOdUtvkWUa9nHmDb8OwfLeqSi1jrtxWqIVX
T2rjYD9h7rKKk9lZj4L2GrvXxKt0H96XZlissb2ANfWds1MN5Sq4pswIJ46kivrmRxiEMGLIDi7l
NN9KymQ2KUqMXshRy9fSi2G80Me+QW4g3OabEa0E2PQYhlRTWT+xLxvvBAjmHYaycKvomFoiBQEb
LxDPrMYIHmKu943B0kDR6JjTJpXLQo68zpsUZSTvK2/lNVVort1JZQOFaXwiIAFm7zZ3S2wKES+v
lwFQ8QcZQdSHBpBJv49SWGMbCex32bXz9yQSEGgJoiCpjXespdWev47Rjk9bcOpge8B+DGZ5yu95
969MXj4XHsJmO6dX95wdZG8ERZqDoDIPuWamC3nCIJ7Bmt0kCZ4ZS/o8xlodQY+NdK05zwOa5CoK
DLQTjaeSRf5WGgiQ7Rym9NqgPgGfkZo7N2thpHhO8yCk+eAlbbOr6CFbMKAydyhB6WGcWsrwmr7f
92SXeMv3JXA5IB/boRFiG1U5I3mEz3WoCD9pEtMnekrFbV/Tl1SacflW+U67bugxCo0pBRTJ22IE
q/DNggTVB7z6bpbm8IRQaIGmH139pfKZ5ERlwrgFZQgLiTQhe0Z32hiGX5E/ojNUJ+13JUR1GHVo
PdhW0GyUOd0mFPccptkl6hzYY08o3BiehyyLvt05owuW7+am8SeTersGMjBM9vuZTADjt/CnCpr+
YpVGtMkTBiLST7E/wknMdsTMxy2YBTjDBK3WXWHeEdb3l60dC8iuw7iZcS8ya6G14EBLgsmETpgb
y+67xSjSeVONSXYkyAkkqyv6RC/HjKE+aZvqE1dBfryixrtN2fGJBDLNt2EZWNiCKuaOsTxmTv86
Uet2HqvxMuZV+5PpZQ/ey65XkZUDePLFpbdhGAZh277blAtusU0O+8LFQ1sZzyVN6tmiJ620bsqw
PFQkqtdxzewm6mXxBPmzuwQemCmTRXA30kNUAul6cmiUIj1CnQdsevWzKfXMys2mYCGSij7ZPtKr
WvBuhpgcXaAJRHfWwLiiNWuKogpBzBF/Q7VCyBhux1i91FfCGW3jp1gMOXN0vWZ4PqyYdtZg/ehG
qogHL4Zq3qLYwyUXFFHMtXcWs0W5Fm0kd2zsqReI0nA1zSE0HtplSGOO5TPlVMmm9sr1kEErlckO
SmC3RyhnfgiNbkdGC1SGxUCNLD9924k7b3OasvrA27SVS7+uRLBmmGf4B3rA05WwE4+U9eMwGsUK
UgaZeE1hOtXqW7byFHxFMPhknJLoGoKEbg2MDapwP7vGDV+9QnbkZXma9USHSDrvurp5mroWS8Aw
HTqjf/ZTMdzGwMT5aN+CDoaIHRv0i1bPws7OwLMeGNgTOSqsG8zoX1H2pTQ9oU2S9BCXosdOkkUu
mvpQY8xOXOtsCMBaZLfbU66Mk+IOOuHjz2Au2P5nNXrpJhIFiMFoWfr1sCWMXLzM9k+kuHzjY6Ne
WjotljkY9kXvUsriF23y2FfYS7q2fFKz/yyblP8071kd/hgr+hRIuzjC7Y4t4DB4ECqlnyt+ikWw
c4vikfpHeAzNvu6wCVFDfLFlxu8uBtzf9aDXPVmgBU4rTVFWn64cF/0C8wh9GrrZwCe/T3mq9hRE
fiA77CU8BMOnMdEQFg76gQKANA530hLDDb5D92aqvfYLp2CAaObuGRAXhyBxrxA1TWpWhx/kZDmY
c9x/7BqH4CeHfB5ZDD+f8WzVm6LFgBYW7kYFZn6YstykM0/H162UbNaOzWQrpnl01Y4UQfsWpkdo
q2fhqHFJ7oC9Sh0GHO61QyslR4RWJxmneoM9DBecijTjVdCHC2SqcjVXfN+cW8HlG94DuPgbx9Y4
qIX6AfBi03bs80vJ7rPIRL+gantBEIwNvR3cx7N9pvH0hZKpC52wzoI2057oVW0uUi9X+zieaxb9
8snsQOAqMpKC/q/XlLTaivhXjcPkwzOcF6Ic3XLGNrqc6pYvTTF/EnbPUHsonkfE0MXkuvlO6cja
gbi4dpvjpq8bQrjJgHGdRrWCV0qVHrzShADuEeqkB5G9rad+lIwVto6UXCm0YSCZww2+sQnsmE2p
GeHcbw/45U1SEQNUhL82k2lWGyMYO6bM5rnkzLJJOf8cIGmzOWI06Ap1S8SQqUntN68xIyR8MCF9
T/P8AP2l2oR1s3SH6OKzPbxpG3rpR94da2L88lwFAoJwOnJuTizVXGYB0VElY7YhstCw+1cvdpbO
654x/kYkTBhJhIMk1nJ8pPeMo0uJ/1UrbW7AClSfIxd18JRHUcDIVyqsvt6J2Oi3rLcm9SExIX76
yg9FsyunOV3THyDO5tTk66jtUxoOfeeZ6nn57I/uVzha8K5EOWzj3DZf8iGnK8pKjYe6HtQHHpTo
tlO+PDNOwx2Ig3WLfWfYjgW2B039LxaDtlg7yDgwy2LMp01CAFizm8crYbXek1llSwPYjL0xsQxg
YkLjw73TFleGQ91Tx5NT8Gzmb1PDVjFC8foMo7hck3TBtaXYCnUckSEfuVSOQ7UkOWL2O9mULsBQ
Ktpq1U1vPfM5DkxUDfD4bszW6vdX+vFap65eqSIabxMqE9ktZvXB8+JhVbbyLkaIWg4F3/gMpm8H
TQg6PFpKBi+FGgjRJmdnVGoPUmVNyn/cBDzonKUKdayYUK3pB2df6drFOdA9G9ySKIqbWbQ1zmG8
r2f6RPpRyC2dEwBNi+yaLc/i7eyKYRdm2j8Q+gzRXKpmRdRhvOUA9qBbYcNbSK2lHLufY2BDIMui
HyUdyudmjGHUJfNPjuPqPtBNHi8iZfRLarnajZWp4WiY7ZMQ7gs/tj3AANjHsnfWsCgBSJHDXioY
vU9ixLXHF6XiizANtKFSYV0siJrugsKASFQkpCl9mtkAFNUb+j6o3OHQ57z0EZN7bsH65ZqYh0Bx
NRiQH4c/g8dwOaWyvEOrKJ9qQwdLPGn1e5rF9n2CO/lWNNTWxdOVJivnRN1mIvgAsxbco8fJZY0z
eQEfFaJDOKfLjnAbAlPvnbK2VCfwv9laBuSr8OAgiTahXDe0cG4NygGY85P3sWmvPkBbgV3gqspb
+DBEMBnOP3TrmLsIAvhrXKmR7sdUoXDID2+sUjYHwbR0bCtatwWgp9ymrSAD03mS9JYusXOle26/
u8CR0EVUGTW7kVzqKRrKdD1XVQJ1C2DdwshQVI+wUDDbOkTk7yZ8WT8HEAPiYMzZtB20RwOfLWfv
1aJ4Axec9kZ3rei2/a64ybylXU9pfYqjbsJJSKEIDSOGCte+MXYOIXmFTUy6/dqYNCe9uZsfTYE9
tR5yVseJijKmJg+p7HlnBorAbsgUMvUtGi6vlC6zlO0ya2v3KczKY9bhHiMTfcg9hw7gjLWDZzWf
/42989iRHEm77Lv0ngUalZGLXoxrGe6hxYaIjMgwaq2ffg6rGn9nZjWqpjcDDDCbBAqFSM+gk7RP
3HvuOatSbx1JmGkLS041FI+sxKork/yJD6oe0yTLX+L53Sny9IZ4qXgTZYU82QHhTrgLkF+Bf82A
ZBXmAV2dgVtP5kBE8tLfAXfoHvtynO5jvysfwhgouo5mZN1rMD91wqQXoxYxZa+TItkBIEDT0Miw
Ra/jT9A4R8E7MdU5f9GOo62eUEmADem1dShzUs1IdSbJpmn9TSkVs/SxjDG/IVhoF7JtsdU7ZZ1s
0OYU707sGfb8ncQPkvfPTZu6WEaJvk0XPs3ktuVSuyfO7yDehEZ159vQ2UR857heuvW6AH0Z80uU
nLpCAd9eLSXsFZOcbln7HTbqTrth4I5ABiFQDVhkrdgjbDS7r0jEKtAqsD2ehdK4nK2lp2n1Cp/a
LPZD/3q20TfhJaqfZBlGwSqIofbUhGq8O7RSO69zjWUFFGfdIyhiV9a0d7SUPs9/Cm0h0By8yQX/
Kvi1/cjpZ9jtsNYAo8+Cw8+pNtC8Dt1EbET/1I7BjmTOfsukVizgEOnXGkDm2vRcHaG7Fi+TEBdG
1hBmQUB6eTDd8M6BVbbOu+7gWzq5R9wtaFyZCq+Z6rRnWUfGtyEHcrNKozQV1ODwhhqcF0QawXs4
As1pt1JCgOHlpbufTgT0vh2N4pnxR3GbuXVzp3q3eSFZIbpw5emLGd1tRFfJC7Vcj2pHuTgBcqRT
nfG9CdBKepMYLjb5cgQceYn/jRksFT7z8uKYmQpVncU7TwchIKXcIAOfsW2qLLBA5l7TfAGdFcNa
F/6EO68fWDumdobLrjYL75GzlKA8YnOYZtljSxsM9Lqa9o03FuQgpzorVbdBJALy59wQjvYYOx3h
aoFbnmpFwp+vzxsXP9TeRnwAQ0IYeRKQYle3fX1n94W1TQuhXxiLSP7qGvWIqpno2VIODNGpZT1k
7qWRXBASrtMAZDObnmGZVUB8C6u7+EmyAl5fI7OP1nRAUFiq4qudqsesGbxHpE8Zx64aUWwpsGYr
KaYXcpGfpxo1swXeYBN04YqkeNJZikYt8zEMDypnJsRCZ6+SUHsiaThEBcXskrF7vAyDKQTaOqzS
NLA2TU7XVQIr2bkEum6Q6ODJBS5r7qlgUXaHFSjbjd5wKi7y2kWqZueIzpeV20QL0hwwVbhaAMiK
rYp2k5NNkG90LWWOw0QjuDelaR8p+vI9zOB83YRBce90WBqQojh4J0lUYUvNwIPc+QkT0rU2M0vw
AjOdB10V5a6KFU1kRbeSr0zfqg6aaej4H/Rx2MQuTJBSMdbUe+m88HtNG4TQBG6WLbRrc+oac+5Y
kquvK8Ih0Pebn6NRUvTCHvNWhZcJzFhuWTxiw+JlGSOLh0Zl+uaX5cQGpZDrakTMZyAAU+Ylz/YQ
y5dmDOSJjVR+TpAI3LH4lHvHgASv2woAnGNrmF+VZqGpanCnvoKQyilktDTb65xwOve2HjJOcxja
ASnm2Yq6HOq/BhfiO+Gu5iNKTx3bUVR8xTJDwtR4dXrJSh0TQVVGSMZLz4o/S83W4Q2Pw05nM0Ji
lw3cOw60mnMnd96wYMmLXUTJt0SSTQ7lSl3aIbde0HR3dMetSt8j25sOBajsbpH1HmOIRKNhWg4p
sBSPENZ7L0f6ivXUEu91oYxdjyOAXCEyn6+x7jONcMtaXWHTM9sNtI2B5OxJr73mK8+M/Iklkv+c
Arh61Xj211rNlY+4nPHeoZLcjVk4PftjHrwgf51lXzO3yag0550psPWWwMdaQrZEQmASRmvVlPAo
p+Q64xY5FJplcaTkEZK+cfjC2kL8LXObZQYAlGAF10qXI5rEJ81Og7056OO56nvYGsKIl7okBV0f
3RBddxshJtIaMiLyyn+fGLLwAORJ+epmDS5nam2K6gmxfEwBiGkircFZdvYDh1f2vcva/OrgTduy
bNDMBXEPak2ZF0FE195Cxj0YqJFRMLvRgQkJBdMRivsNOg6cLbz2SzRYRXplXdbQ5YHJXNshXPBF
ZqQFqUQgkpDJJS4Xx2YIaQEyOiPhTPZWP7oEZAdwCa28+ETzzmIwFw1EE7wnUHoMN0weCLbW9VVD
kOOZF4ZbrDAEOVcD30m+pU3GitgZJV10ntoRpDuEpdTZjjQ+BLrVWwbW/ZW09fLe7mT+3S7b5Azx
JD5MUJC+PMt2zz7uqJOypEbOm+jML7ttyGUy4h6feZe3r3M6+UtUVbXEuiErYpfDEjT12Ft4fMcM
mhy3qrciEdF6qO0Sjbib25Cg8B7rd1rVWE9Kpulnpqon4TEVzWoqkm5EMreQiRLYke0yvk5tP74D
0yJHvGJ22lJPoWSXjN6nXd0w1rO9rk43tAFc5LboKDA0p5j0QxSUVroK0C2ybxj88GYcGjtf2Wxd
eUeozN2YMCuOQcT5BSfdbjb9VHLrpNCHkqVBauYWMS+LaChn+rkrLUTm3BLGjd5KBnaywW8AgkG9
t1XhxytV1S+WGDFOEz8Q7Lu0yu8Cvih3Y7m19VizIBzXelrKT0ojq1vgfxg/iEvrGa4khYx2hYRf
s2RjDIOHuzmqt7Cf58lgVQ/OUnqZ89bmngNpjpIfx7TZo2qeTzbP6bcKWEy90DLhHZQcv1UVJgE2
x/2woLXmOaFG4jdgmSCIB0R5Ct+byRp7HPmqkin5rFTvM7JsgOQ7I1IRIU6E6oBgrlwLb7lpOVaA
0Wwc4OjYFQsPk//xICC/k0o4WiJbF2q2wrVCQuYBscborBbRh19byV5aoW0sE9WQTiJ1PYRo6Zcf
1SgxqA0WttWO1c14JIIPWFjfOC8wzDk+ILF5pIn4abyrktj8jBLo+WNlZTS40zgnlKaE18ads0yi
ZiSrjCUQt2S271XLokyyTLsCsySdtbJaTpParz+mqBCUeIZWPUcymBksVBPYgr7MTnhED1veIUJt
de0nEykvv3Z9GKu6Oo9jq63Y1dLjj+S2IAxF09iJLb1NHsCtq4uv0u0A43jky18D174k7H23hirV
Q5CmJmhzbCC7CGB6t2FvH2yy2nq3c32807DSfWgOox2R6afREPlna5vRoymDRN9Nfe4x/LXKF1Jj
s5OmcnGTFLl2p0ju+Bshxix/+Fny4ukWKigObgMI0a/Q8SDWJa6F0p17epandMxXSHrkRDdFyLlN
qXrphBY96l3HUfrXggnrP8klkKCwBTWkgfDmF33PZACHIPvB3Y6Oai6eU1S7roKszJHIGLUnBsWn
J2MxrkfdZz9xpFSQjzdFFwuoZfVHXNTEwWF+WSaFDqUvY8GUDQ7kZcp49s2GuGIxMRnLpA5mL07U
CRezlR96K5rO+OXIssfL09vMBk2UWgnMyZhIoZ4KmLMev0HexsY2HWIN4JNwVw5x64u2IjpO7+2H
gUTKhd2P4lqGzkeUQVHUZNfsyjn+PcrRzi9oxpBKDa75N5fO+LOMEFM7yQ2maRpMB+V8aX9QmqTc
Slw+i2odDSV9g361rGHMgZ4TbimQLPXwpUbiGzmVxtlUW7fjxksI7uJmKhEwgeZSnlymQUfYSps6
68gzu72eE7eZDxq+6pZ+N4kpgM0IMl9EKMhff/uzkPTXWw/UvI03nz/R58zKuR9+hZCzpOi8ytvq
VUHgfeZ1U0Jw8RAcJ625IxvBWXUczkusHcEBkk77nY1Xu6/0Wa3HwM0W+HeMutcZe6Db+Ot/3Z9l
ezNPABA4DDAPfeov11cxw3MEpNlZM847FP4j+Eags3/zMWImBvzy/PFFonjkEeDVLn75nIKFsVX7
hbdl/QkXuDMkEWB91a6AsDjfDBp43pHQUDLhZyu/7Zy7kCJ0IPO3jI9odrxLMroxshkelsLO0ktj
tiDPYn/S1laoPxRNXD/99aURv14b3te6sO05G8/Cw27+ItMsQcMykODe62rCgheTkdmYXRkORn6M
O5I25MmLLznp4K+AOMWS/Y++DLokOIzW6KwQM4yfduQNp9//Xf/X9Nf/r/I3DNQwP3yDM2frX1Ss
m/f0+z//8b9Y9KU/qrP/+IF/ibOd32ZxKg0IB9tPYCvX+02iy7YkSYe6Bf2KW/dfYCvE2Z4DUdyT
Dj+MYJK7ts7bJvjnPwzrN4F82HORiNo2cz7xX4mzxXwv/fv5cC3aTI9PEvCfpMVnzS+RH14SeYDT
hxbI3PlwELF9gnIQ61b4EJ/0nKCopZtPyRVCLJxIchZdNP9qbOagqqhIl0EjO1g2ti4rFi2NQOuk
T1jSIbDnu0FrMcLko6XtXK/q1oYQ1veRkhs+aCbDg2UnLYv9Fkg3cr5w72RqHRFqc7XCzLj1auFQ
9o/g3NkLnAYD1z9x5sO5Nax71yrqJVdwBPwjqlWeG805qimPKNkjC0UMSsUDhfBSFm27mqp+Qtgw
+64btFpT5eYbOcbQKmNQTaaNwzYvvbOvNHGDQkttrSlgrxKGxxHO5Qo/s7Oc6NI2uW1+FkzTkInX
H1kKiz8uQlTstQ3lc/DHPTnYze3kef0hDnX8uKXDanUUjKdF8y4HQjiQ5FcbBMrkcnt8phs63/1O
ipumHD6ntrU3+jASlR5pNw4ztTyavnlUvpoyV4Ccn4fSPAK7PFkyWjVje6DPnN3OGU6VUvsAet5v
/MH8pPjd1hbQ/tgZd23CsWX05oPyZhlsyPLFjueJFYSeBR3EcxLYw7qR8gUw5BxV5y5cSU4f/JKQ
aKC1pzCOoYjpjqKn4mN9eUiBV2zH0NoOGssryHPXuCpmcvowr0cU/ncGPcC+tGSVVo5+O4GCIwd4
LlgpG9/S2khHrOad+gBM6YNnHvgbcHptEUyBK69aDWFO6V7SVKHSGpzxq2JJDRUpNEumKgMZXEXa
n6ogvuiiCL8sICbLeMT8IwAjLtIa5jNtYfNZxC0LGVe7E6V3iNsmXQolYsZXGrBoBjb+jl7xGueS
bGxnunOD/DaWOlvFXl6nNOz3dpeEx7BEB7fQY9+4eh0LDJibH5BPSQ3TkrfUbLtzPds9jQRUd0d/
cydla69lUUYc8y4LA4e+KCr6dTaYWPytbDw2sbwIzbLvGiyk4iQloUBLJByiRMmkhSYzD4KcNk2a
tOFSS3qlrWmQSP6OQNT3q4RRGIk5WFyZELZhmmD99VOdljsiEVOjmbnDU0yjE5lp3RHba7JIgMKu
68u2w4OxKEhbYA0g3VGtJpilNEMi9+XKT3zCo1UkoKy0Gij3Ba1kp06aFabNrhUeLsHAiCHYR7EV
Fs9aHFUwO7TMbXC5pi7GVKnnMLU7N+tubMDb487N4mo8MqNP+g1bOBSxLGEq9z41SPXcx6QR5l9F
HE4enxt5PAF1kHhLYoMZNJBURLJb64NMWY8wpdiqdwjTtoHpjKSk22XvrDHUkRLlp2R9fuZGF6T0
9a7XkUrAqGSRlZ79xvpgfM56nhivifxrpSp3xJUpwnLhjENAZJHRs5kzOoZOSycaoNrZOSzLlYwT
LpakPiUbYM2cSRGcgNLTbVwehRDgRRyhSqwj1XzvcfJZqzDo8ZDHUSjiq5NHabQheS5z12nT1eom
iDO+fYtAwe0s+23WOAsoi0lMmUxy+7SCsXYbELLswJJIPko2XuHGgzZLJZa6yECtTkzvmSeJcwWV
c+dlQNahPvOBbYHcWaQdv2gRoE0e/aGyF2XHFgg0haMZxlvshME586zmvc/I6yafbijPLeiBDO3l
FO3TwZne3dnDFdSU4E79EDXyIWiGF5e0wVWdleOrayMZmOIguTUjwWsvVM5GZVlzz1gv33Rd7b4q
g3Xbwmys6U3o02fvtP6q0tvsydeqeYjI+JVAEmZmzdHh70VlSRdrg9ce+i49NeiKzK2n+VzRbqzS
paPQdS4S8q0uY4VtU8Nw125VXzQG+zkARmsjA0Jz5K391LGJlxsnKJv7KJWJeYdouPM3cHrc1dDW
zpGRPylsY9Xow52N+GjaJVapVp2exMF9Aoj7E4ytsBd9SGm8cisrfKjY/XRvKp+aivEWZsp5hIxo
FUoixvB43MX98A2cPIQ1h3tZLFzleEtDFdNGALWbcQvdlclGeLG0TC07IiTOrtnejjHSfB+z/S05
Oe2mTqbsUZt0edK8ZHitB7u4LTTdQ6XDxvahnpLxdvSrNLl2Xp5/y0zb3iGC7Pd+l0rgRa2bvjuE
Zt5qNYIJaTTeZWhSHJBQ89xvyoAekoQxMueZ7uQsKrP1yU5vTPfLhfVwgkjcf/lBB1k49HLJLEwr
5bKW2lihjHMIKpS0ickXilEyBSMt0AlnoFwm1sV5Tnst2rL4NOTGowRNTiIrB94KY7CehV8POfsH
AI5xn303JAl5ndT6F/aFbbFCH+IxA2a0Q0IwUP1FOEzlRctD86ySWgMjTJjkgxaZZXrKisGNd7HI
LVTzodaRYasH7guKXvaNUe0N26jwc4NEltj6zLWqu2Uq7T7oeZacsrAJxbFqfPmYVMJ+m1pOkHD8
feyUjurF6TT91hgwyC+SMRnO+WgSXEDW0s7vPXMtlC2OgTKaPQm4MZkH6M9WGF2xsss4rzBkVwzd
l5M2WsZC86b6cQiEdkNHg550UHXZLhymQtU51UKQ+pNKM3zzZCYAw9HZD7T6NCbrIGnyQ90MLVo3
06zt2yrqkpe0hrS0yRHodmsA1r6JadiT0cFD4Tft8Us3JLuGzF92CN45/1gZsZvubEMbL7bjB8at
po+wwtkBw9XUfHgpbHuYFK0K0H5q1ZOFEuM1int6eFfEjL4qz1anMGOEsuyyvrsVBu3swSomWz/1
UTSla93TCpdtdH6HhmsmCUTa2N75ZWgXT0h7mInb2TJKUMHgUNTXWcwj7wVofHrhdOdYCpxwTek9
+EPq3EZULmqZYlhBClCGO4jN5o4Ut4GxUmjsOM/SCxbxdOfK2t12uJ6xhJP1CPymnk61b7F0ymoT
njNaCwgeSKvYh9dd9TG4qCcWdO6UD6Z+U499uCLwCEEwdvkKAMG6cbBQsIZFyyza8pgC93mMajb8
MYsgdrWFox7QdQcKlQunw6TlRFaTclGcKpgsMXM8knV2DMZcvtaisaGyRIHVXA0j0S9uLc1zogXm
owUgrtyyXwIqkjsxr+W0cRzW+xF2D831zUcAayxkcnz95H+PbXs/gMIDo0D/eQiMSX1yzPGy9Kse
M3HXB6baJaHO8o3+470QqXccLT25Em10LaUYtjV4J2jViMyqbLJPeVW4q6y1j+WEuiQz0EI4CLoX
gOaPvWZP7xwY0b2SRvJZMPPdlnEpEIcRH70XTQVUklam/FQqowRjIcyuDA0FCiYOqGII4H1aYRVB
kqpNa1OaEpN7aHIQbPuBsh0aTeNt67w3POKbhukSs55Ywu/PP4p6RMmnoStuBFb+Jdhyu9y0ZuL5
K5Gk0d9Oxf6m4/llIsDKI9PzvBn2FksLzMx2XR3IT4wefugBr3+0UD8yg39u4v9orPDi0sIbjpTk
z//cWHVTmuW+r/V7OVR9tmCbFMHWL4nP+evP+XnAOH/O/P0KBlU6HSH/+fPnCE8zGkxJ7X4Cq/Ae
zSe800x0BIq8IhAVWhx+T7oJBZmFWNj9m0835qv1c/8ohGS6Ca+R2Tcw4Z8/HuQquUQVyY9WFRab
YC4EDJc8Vfz3YA37Orl1y9/xZBZBQmM+rOB+vwDteJioLqzfywyGx8lceGQOdf80XAeZ53vHLIfi
oOuKvT/5AvAyNByklxrCSLzIWdAxy0bigvfpjynH/yHreb6edMI6QxcurGsgffj5F5pMK0AC0hb7
Kawh0pbkqKNVyEPIIa1Dvtv8GnfNv3Et//kqmrqj41t2qUwdAvJ+/tDK95XVxV7Nh6rpxCyZWrp5
xURyCOVYwvz8H+72f7gzf54Lzr8hH8YsjF+Qvwmr7s8fpjzTAC+VNvt+IoLaroxP5q+bVB+av/mt
/vwImNyWto2HnCGHac///4fZgsFmuWAvku3DNjWaC5hKn4MzE3b7d1O+/3D9mHPSRc6DTt2Wv3xp
KsZbDf0h2QPucY5BS0nht0Mwh0R5Jl4swzRIophC+rwi6OtLjAvEurrCBvlAyYdNj+qvEChVmqr1
p93we31Y/V4r/vXF/9M1wZvOrYWNWHBZ7Jlm/uM1Yc2tQJG64T4OAl3uC7dtrmjNaZb+688xeext
4KzMQUzvl2vvlEFdKkU4PGHmkugCiT1jpVBP/GEp//9Dwb8h3sM04Ln5n8fuT0NBqCfv1Y9DwT9+
4F8YXvc3U+fB0KXBjuSPLM4e0sM//+Gav/Eil4aDAMKGcGRzp/97KIhzXzrePKxzDGeG5/57KMhP
IMgydcy+85z7vxkKYvHiJvz3Sx3bMDnPpmAcZ88Hiv4rJwB3Izl/XmpuC19YD5GyphXrtewwSBZA
He0xjpT0NYhTkLeG676GjNpOrL9amg3+sLYo4p1zkFvxcxQEeI+7yTkLDPr+fpga3H21AQ0CrYzj
PBtTD+0PeixExDiYZ1ZNme1j0D0ojbrpGbxF/oXcqHkOJklxbpm8ShypDVfdnfl4NVlKVpnHG+hZ
xmGoOuOOfMPyaJE4eWD0xsnhZc1egdgdVsLQzGfNmQzrWKAiOkaJZ2LhdK3sgZHYpO95kWhHPeKD
lrYVdTMPiuFfYKf+I9VziVRKs4+OR3weCX7ooCLNBcddkp/0xBZKf/RR1nsUL4q/28zZGZgg4wnW
TCbj05sfv4UTpPmB9bMihcuJ0UcTn7eI6jY8Yf6V1rLKiRJLkVehhnfM6lYrSG4ncCkcbz3echua
veycuVBqmEi12ISQ8qbtBSll+yUoL+98M/Hp+ZHjURTaiNJgrXZoorSxvCGaDxhSqbtpsfFBcyB9
Dbr4FuLPiOrfzjftaKKTyjj1sDkRsYooNT9RItn7SAg1rZDimJtUUvAarY1oaTC/4AdJxiiBjZkp
S6xqF2mEhC5yT2/d5dDofLtBiyocvHlKsHIQxXvM6XI9NnqxqaWQ96xs5aYzzepzbBKmSZix2m1L
y/cBkL1/ZSPuHJiMwBEl9OzWcUfjsSfU7wz0PmK5PupS29iFHmnroe2gj8ZWpMCDgvg5tIoJKNRn
71KV8D9IFacDtyFDHhgHy5OVoS63m4YRpV0waoy0fi1IQn9jbZc8pJnNWEO3gn6Xwx68DScNWJpL
rYePzx68G93xgkvh6EhBiR4EuVi55skupbHXhWZATvNzzFz1ZKTIhbikLkhCeDuaF92GqqXbir1u
OPl9fZ/qk/+G/AeAf2xZrxIV2ZHWO9kpozK4TLnwbipEWoARJarBRdExO0PdMQvMYo9unBCemiYR
FCRjbreeSJph3jQuTKc21uHYVXcIR6aNO0ZrojMJpinKt6JI/ZXv5Jhumk57Kmd/BQllB31otY1s
fYQdo3VpYgsHuO1tgLoBBK2sZz9AbtASFAQ9YtYYyQD7i9t/Jmn5AbG0xCxR3ZfI8rwQWx0w/nXi
Yc8qmNk3k9VfUgYu0i5w480gBvavmzx02hT94yz/o5pGCthDEM5wOWDjCVm8Lpq8ngBbj7JhON7a
h8opl71uUllbaWCCXW7SkyuZC/AYdo/MuLKzpge0PsLMt4nVtO1t41BmLdTv2sZJ1wKgv9rgvrWR
SxBE4zYaQZ2NCj7gaiEC4m1iDOtcnxrvMC9Ng63ZcnEWeHi0gT1Hzz+SH7KJIftddDmYfaudkKKS
kNi7Mv5k5tpuWtwFG9eJbG6LZoBwbFtbvbN0puSl2IuKcNeu15GrKgtUGJJO/1FyaZdt07lY/Gzm
CspL8QEEPfhOPVElRMKm3RAPz4LdDvV7N6qmN1eUhF1gp+iOKU69vSn9+Oobrr8hwC/8KsIe0B7s
KIPRd6OPmzmNbh2aGlqWicA9vF1d+1pYaCOAH/eK7Mk43IExow8jvxawYC2NM5N8QiRjLwTqq6oX
zKioXKuxWpU+xPaU1cc6IUzoHuZB9aIlbcwGho5nZURSbuuWXovrX1/Bo5NgYRZW+00NWbKmEt9N
yj4KoOSnBp/uS2Wo+qjUsGunWLunF433UebGd2NYqotT6xMQ2zjdullmXsvsVEA3ZywyXvUmDFdQ
Z7tHNlXQCos+M5bRIMv9FBfajV5D6zqa3E2XvqiSE106ASJx64mD1Sevvuc1r1KL46cybPMzlzm+
TePJemswoMarstIHklHIhr2oAId80BFNtTDUVK+iFuICKl5vWduucQ7SCYxe77dY+732mIyThVm3
swl976ZjpQEGQNLCVzcR8LhJpnS696fGqJY+Wb3P8KHN9VgMzYU9L0ssIv4IKEkm+KFOFH2WcdDu
RdfyJaUaKsbEUtxl82fLMDSvDfiRjcJ+sTNE4XygUh+3DsD1Ys2SGJZrlmSY4Un+GDhIM+0kawUG
1ppldj3HfVGVG5KWnM0IGPOOLGz87Pjl8i34/5hQRsJUyOEgAB6GwjM58dNjY7nGaTKJGlsIWRqH
wvJLNIWBKfZKNz+JSSV+WPTxN3C02BowMRWPA2Hz6BMpPTAil5U8DYUbnQ23JvW25t0KYwdnZRZy
GyP9w7erLmZRm2oBHlSZWKe9+K3nfYqiOcARDyQzy2+l5eJC7MtwesiBsxCXRYToQUcE+VSXcfc4
ROKzanMMj6FfawupEvMC7lR9l22jNpkToC8cjcFc4MJFEAmxeFhDnjGeokr2D5JXzbsPSJ+XroFZ
feHGOosJSJzFoxyj5HtiMk/CGMrGKwhZGaSNeA2I0HEAlJTmpWEghX0G577SXBCUdnSYoIG/eL4i
KqPe8Wi5x9L1UGca6NU7Te2yUtzrYCoXRGz2BzAdN8z5S7g1JV6Ntp/2WVSMQL0rHpJdi37/iFvO
ue+y2F9odWvgFfaavRtEFB04cutvpHDdMNXkixqNao/80t6W5CkYC7YM0SohLHCV2UZ/SxhmTb2n
c7SintsUnCmPrFISghRgy7uZqK54KYbHuJgg3saePZMgMbXUCaj43NYe3EGuBwuLZ6Ub7i2EivQG
b9s8DwqjZzHCiu6gA6+rLis+yeaNtz2+F5Y/8IMHmXkvjpmOF184+ScCCBzqNUjyRe844z3j+HLX
RvirCqPeWUoPTkGO8IYYR9gNcKOPA/rTLwlLd1n49gXLbHhMNY573JHi25gxNCQV0SUxm4h5pGUj
CJljktJ+U0nGw5dPeMFpGiMVAijQnJvRqXiR9EP+Le0qA/dG7SIT1Jptn/bh1Rmpo4TyvY1sRLyZ
Ilmc2VWxxwzJBBa+xZKgHj5RhNfXsAAp6prNTsAvXY0CD6vb4HqWwIdPYNvxcLT9iaIzXKH4tdC6
GcnOL3it57pmbQoz3iLMwfEdfGPE/lkI7yKVqjfE8LK3t1Qo7/KiKMxlWehiE5TakXdi2hIaEQUP
acl7Fa/+ABRJ71vUQPjgp+MMnN6YY6Pdufpo6q99Mbny0MEY2Uqn8Pju88T6osjKcf+ZqXjikCq3
Q9+I79LGU3CY0F6Wi8qNvc+udYXYwDyY3mqr6++9xJYra2qns15r51hE9h3F5HiIvIjdkF7HJ6Ll
PKq5OfTeZerKEl6J2l/0lW0+JLFQu7RuakpK5oB9E5HHXDg3vBEILSpVenKU0VWLFOT+S8FPnIyU
6KMldeZ0UzXuGLPiLOVrQmV9nyM9O/G8MncQGqrGqhy72xjlYY+X0nHPliYafVE42QTLkwqXbXeM
qmAQWXI/Ccco10VfqFdiLNITyVyTvhTwL25MfId4biBzsCqNUlg6yslxejXk86F6JleKAJ1wWsZl
paa1mnS20rFfBM+gXdhEFAWOgEC3NNSllBjIKfe4k9Ib9pvO7HFIz0bnyFtYPZZJAYZHehmlWUpq
Rii+qaJ1z44Xy9c2wP/HrldjwcA8N1+mKogJaQb7OiwtRlUeQ9+BnVteiHLtT737UBPxiUmDrex6
YKqH7BZggVXasHY8fJZ5UcUrDZcTHje/2vLWeu/CBqq+0WIwd61gm7hoP4YQZ6qhsLrZXyRDqZ2f
5dp+gFCzjFNtrxfBzrLDG1QlEP+cIl0lLEnv9b7SQBbDW/HtBMsSmQLLxIq3gHH21AlM+K12WvYQ
enNqQ/4lB8fOvnR2SqtQaTsDPv2CLwKsqsOREyYe7Jk8eIZRDrwvwKsdTGAaEvUIPEQuaAf7TRU1
EIiMjAx598wgCNAPJGozbIYNzcg39iGn2I5WMJLd5eSRAyJ19dbk6IF1WjPGw8aqaaWzmvBz4VkJ
mr0EErJOewFKGcUiSr/UXJlZx8oApPYq7KC6O6B58YxWmzQxVnoyvLOJW0Fk3TXoOVZoAC5TK+Nr
b6Y51nZ9OvPs4XAzfW/F0SMWfT9WbEQ9wzxEGQmUfsGqgWBKe6nKrl0TR9mSihw65MEUmbmZ0jqm
KNVG3Kp4z1gU2gJ4eRKP5lLzWiBOMmmqkzO2UYh9nOvrwi0hwFJjc2Na3c7SpP/UCqN9qXG5RUSE
JbOPFyDPcSBEvVhNmP9uCa5Ng7WjCu8pIaT8vTGVfySivLeBvmDR6GP7hcVsq9aNZnuI+icanINu
CpxUhYLK5Zj/m70zWa4cSa/0q5RpoR3CMMNhUmtx55G8nIcNjGSQgGN0zMPT9wdmVFlmSlXVMtOi
F9pkWhiDDPLywv0fzvmONe3UoA8LLg79CYtOetdgXEESVKEA3mpJWh/wLTXUoLhVOPI69WTbzZ3F
6nOrN+K+aRLnyAHDwkoqsRvS8m1S0kJkMUsBYGr5Tu2v8Rh1n+bYRgAVsCSReG+hvSEIqOGRU/hv
hXCXgwlra4GLoXvlyZJLVlcIArD5bEGTuNuB5F/cBbRwZuSHh3gyhx1pQYg8RGT4a7xy6miEnPmc
Qnr/GDpJ+lKkAAqk27Q5NgsMwYLCZWbfZOmwCGIr+W3C+r/Tt38yfTMsZ06h+vvjt91bNf45DOu3
z/ltAud5PxzG/IDrHGiLv5/AefYPG7DcrMAUzNoILP7bBM7SfwhGbwCEeAcy2vZ+N4HzfpCqxUzd
ICbRnz/yp3jJfxQ36XhI//4wgGNI7FsGlFCLxvk/K0ATw0Rkk0T5Nu40cc26AuwxXUUGtzyOn0Pe
Xy/4jNI9ZBweBH/OSZ+Ju2s9KbsdIzAfJVrV3OF6inLQcrH/WFB7PJt97l1Nk24/SCeozz2wmz0J
v/E7wc/WVTuHsuf8d+eSVAJYBe3BuCyNxv6ZDJMJMa9smytgBuY9+jOeFIla5mscFa2hcNN7E1Ps
SrBfOczl/6UuLagMjFlWTeRm+1BhynFVED+iEqoPFSvPR+6I+Mz+cyMZBuGL87tlnpU8WtDJF3Hc
YFD0yIiEV20urZiWAi8sEQqhUyKDdYvwyqfJ3spaFit7SNKVBTxkbYkhu5NN5S26IW6uWjYuK/BG
cCExnZJ+rJ+o79WZzEvtMKS6vcHv1F3ZZmdvOi9J7rpGb85Fw5Ude25+VZp2za4T+LNXl91tmnP+
d42vL+iWwbG0zlXQVilqvYGV6dD6L0ZlW2yJ84573bTXmlkm1ylgV1CoVA5NpcZF2jbTm5/ZuCFk
DEKCfdPKjCqmHFC5wfs0zDds3cS/rL7YqClgKE1FFPSQJf0LAUrhI+j9/hlgeX3vB23wiYZ6wsYs
JtVBgzdYU4+k3COp1Nus3kgr0l8y5Nj4hCi0GGFN3vAaj2VvbwhIl5dcdMGJyIDh6COuWVeqRx5l
T5OQqwK83grZzWjjvLdgCOBMK4uFagnJEl2bfRnj4OyCzsCpqQNT21V1kZ+szAZTNDjlXQrdgxDd
TCe+0/sahxjTfITIgcQx6wxYiSAOLW+egI0iRxN++0TEgHyk5CVRpdRuyURSx7jrzS9tkM4i06E9
wnctWzgf4Qh0yox/RpF4dRwvOKtqRuwNXnA0U8tZtX0+t69xYRizzoX70vOUc8ZeE9/C+zFWcqrH
A3Ff3nWGQLzQEjQbuTHjSsLuBHMpf6vqFpW/afe7UIroVI0q2cMSX5vhEOyIXARyaCFuvOl9UVzj
LR5h27gkk4QRRD+rcsU6mTrt2ZOOfAxVmuzzpO9fM7ZDbz0JG4uIDmuFTVQce6usV9KHs+g6N3Iw
ylurG7Kl36bdG9qX8tEZrGhbFa31ojpFykLbEc0wWoFnoOlELGNjiIlW/FV1Fdbo7env7fBIOloH
dapS184gaUKEUk/A9bECRRlkCbNEZQfKUuFth4oYdPpIUg6qUqwwGcT2hNPhmk0FFx8qOb5fHe0m
Gkejf3Qz6R3op0fMY1pxDryGIXATm9dyEvVZ5a2xbiIUU3XnVUii6JSBrijlnpMohCcRpDQRaN+M
T4FN55MY2vKMO3SoVn1WTgYQki5d4+9VCCLrmsFk7+r9g6ww6W8NV+jpknI+8VZkQfurDBhDuUCz
jLjBmuurNu+cs5l7eLcBfWxASXEOskPQnZVCjCfmWEu1biyvk5vJ08RVwwRtWlQcxS+sRzChgBOE
8pE4s3yHjCQNM2LKcG9RSWjbh2rqoxNZesUz6+IQ4yS+qptB6/KfNeOageo7NF9toO/OIgf58jIU
wrIXHIj4/kkZ8ZjHp2brvYy5Tb5EpFniwUD2cIXkon8uyZPPD/h2LHeB8m3ca73u5NsmExbRaxSo
72ExkD3bMLJ+JootE2s/FdVFn3sCC0Mzh3YfjByMjNdQjzYExbVmN7Z4LvW5fDZ97cWNBlLMYaJi
X2ZLgiQN9Xqm76Q0VbW0dK286tMYMt8wNNawDk1jnJa11sfVdmQWx8bGdIo76XZUVD2+Pg2pZkXE
WjX5xJe2rhthY3bM5k5Funb0qinbtJlqqrXXRoyl4zIb7/QwodJETtW+wFFxnSWK25xOv+1tuU7q
MWI4p0F30msnwGaX4nYM2Td39LQkDjN1cfcGKSY1YiY5fOGDzZ/aqqi3BZMk3IY2LSo5PWV6KxMv
eGp7vz6nvv1Vjlr15kj/1h4G7KaTgx9zAevL3bQgGg6t0w6vo+jY7tht577a3+DNeaa2193QCxbS
A8QWGp13GyRiEpcQABKzIzszQBl4Vb8Bh8sPUHlRs01Sv7EXLk1+T5uTxQ9sNYY5BCx8JOgNKU2b
2vWKahVDZe9W/ScmrnZhzc7LJVIOfU0ys3PWkg5DKLtt9Nf4bZ09mRg89xUPwrNiKnQ/Ni5ulcwz
wUOSd0D4bWQj0Wac3OF4DI2HltbjnGQOWotE02O5zlFePjsecE06A0H8lV3PsKRJBmQAM/g7FGla
PjG5Bn4qMSmqZeBlvUMaFMGPc7gETVPOL44cSINETr3mG4QJlP4sNYwoi6GMp6tc63himsBIn+DF
tEfOUONNN5rxiV2d2Kc5lBaS+qaYsze3bPJy05oBPbDaF5/Pv6k72qFFlPj9Fi+E9gJAZTiaI2s2
Iv249LrBAZOd+48hMYsPuvLTG9tCa7fqB6dbRQ2wGrioQbUAYdB/cug213Fg07Uxgmgeu84eCWiU
VvGqJYXa+2xq0XtYyrojBR7ZNqei9p6jUQIISUYg4B4/12xIVYJSgYVG+oY7f1Jbreviao3S2Qem
I4uq3CJX05+brGL0gP/304tskT0ZfaDbi2rsvdvYiqNw4/UMLKouniBuJkVy8SMDPXETuGa9tEOn
PwZNRgpgTAJv30QMK2rRI6RFwGbEU/rO74puZxqEeuzrhluga7jfbWO6TaoIAkhC4A78ttKYV0SK
CanmzRZ9s9T0RxUnVrtEmOwRsjS52WIgkikE1Vb57clj5zSukxbP4CqInOZaZx3I2xMbLZbLJAqe
A3eApknKXkQHzquK6F49tlhqb5pe+qjTJb/3uMLKgYBrOk/DnKwNGr++bY1U3fYiAMnaQKnfuNgN
eOJDme1lNLqnGPFKubS54XhnOKOH9K81NkZhtMAVuwSK4aQ3VLQGCsA6ruJrl24XQbnIzbcJn+yj
VvoEvRpsCa7cauAV8dOkRAYy8AopW8mdMYTiLZGp9YEzjW8LZmjz6BtDz+sLsGcFBSD8oDtMd27a
+o8Sl9U2mgD/1lpjXiVEoZ/T0QEHoTnpRERi7Oy4aRWZR67BCieL2VFtC8SohNgM4jjYDQ5klixN
vJIyql97pCaomVErfpHyk32STWcdnEAL39kBjOMyrCf/xBz6KoKQtR+nlGv+uxP636bxnzWN7KaR
p/2DphEw70f0lv7lUr39/Kyj38s3aATnT/7VPfo/dF2gtGCRMAdvzNat3/QbnkNfSTvJgW3ZBoI4
PvJLv2FZP0zHMVB3uB67Q/rIv+k3aCwJvJn1G7xdve8P/TfaR9TXf2ofEZAYvqE7NkoRiyyMmVH/
e+EVPANK+EZsc+wTK+nVI1G9PiJ6hQjgg3ckx5UeQZwtHbF1NZJ+MjtoCByMg73pluZPrvF8x6WD
wB61RZtBArKzJn5Nq8TbFJOrWK80SflRssNncF7WS/yw4ZXG5PhWzGCLos2/1fFN9RMM77gdotq7
ZeMg+zXzF/sjACwKT892ow2ei83ot2cZ2+kRSy6A/t5tiGYL9ww0baoTwvKk8q9BVZc75YftsxuW
/s9Ec1uLCnoEOKsF7cbKDVTgaZwOP0NpB68gP9vDBKFn5bhDs53qItohd8G4BJJuWw9luwrN9OyP
UlwjmejXoxkXuyLCUF+O5CL1JSgtyfb+0kP8Wfsxgm6c/+64DdIcTvYUSPXQQeb5lNiTz42uWYdS
tPdTrfuoWmpxsbzSJkTWwdtmukXAWS6LWsEBBoG1BirMxTLC69uKcRyWDByTZ0zEOtyhoTnkifmB
Tb87B4mUJygUtHGeAOeNm3xvjbUH+h0S9yJMPPkeYS17ggjCCkkS7RaKOngH0g60c6gd7asb3eac
UdI8F9xMZ37h/JwOhqqgzAlI1u0roi1qmHYCTQGLHlpQXXwNNuNt6jjQ1ymbhEOZzEpizk1WH1AJ
JgCNdJZsUnjD27xQWn5nZ2bMQpMZJtmT+jP4ci5UNy2RcoNEVEzV57a73iHqLle95fOjh6ZHJ9c4
i65zOpB4YH1ABgSPghJ75Ugju0fT3AAz4hZrpsh6GejBdq0piDCzvexapnOGdCXY5rsdU8PKhIvo
BfW6TzxYf9RU68yJPlkuBlRuuXKuDMJo97jLFvzS9ZNq9OzUF5P/E0FC+DCAHGkXTGUfwTKkBxEF
7n2fg5JZDPCg6Xgh0PVKN2+Ybug5o1XNZmBuV6hrq1b9BMl/DQpdWxptqDYt7uOryRozYMrugPgm
hSPqmrxrJRCKhxTce7kaUOtutIzXzI+JA9OqvH2dwNAdNSHULTWzd5wYdG7GHvSjNbABtusFKKBq
q8gxeEzUQDAYSayLSkMgU43xqncA7wHnyB8MQcAZqWgTgCV2z2s96GlvyygOr5pCDy/WZNhMZ6x5
EcaoFsZrD5mltuaQywDUdTviLvYQ8n8IFog+o1Wt3GlOZW8qvIyAtxNQIsVHbQwHkQTxUtP7FbQh
bU6oPmedpXaC3cfS1917FlIAdHNzr1hSYmaKSMv83Vn9X8harT8nb3DqmTpeWkysxpxIPw/Vfnfq
BV4MV7fmOKCZMKNFR04nWx2V53DFRK5OlPjmsofTxm75OR1SKwLhX1VX9mQwPw6DvCUrs8MEk0Xt
Ko/y9Oh3Fs0dzorkhMUkfy5KBvo10dIWg+yIRLemqfQAWtuU3Prfz3Py/WxbESL4PXk0trtHn2Yd
elhaI65Ry87Xra0lr//4R/fsP8pKZ+cuUWqzBJa4JrS9+p9O/FFrGCQmIfxwJ2T1RgJzllh3mhhe
sYTECwOsF4ytsDx5VeuFSwy/ePG6QfFuqBSIai10KmPtTFFBPh9sa0rYGSYZp90nleLM2xjGvVf2
O5vKr7SmcliabfUq6oYAYCpebLsHMzXFMknkR1kOxZL3VnYhDqTaMzAlC3tMMd8ZkAbMMsvsZZ10
JQnzibXPu8pyyQbQmzWvo7kMejhPnUsgn+MP2aX1ev8Vn0X+OnY6UaUuUfAmpssrJ0TQloZVtIl6
I9sWTe894/kJ9m5mBZcxk90tfyScdmolTFYrOgwdMHpUHmI9ZXCb+1ZN28Lt2R2KftyHxA9goyJP
dBM2Zng34gnoFv2ElIxvu2cAmUSbhMCVLQYMd5Nwya5TC1MpdxBSj6oOqsfGdIxVaPnqkRLfJygg
t79cOGEr2STJsQVAsxiUEx9p2kJ32dam86g1jnntT0K7s+re3LFMDrlbhF58lnExPAITdx8dr8gv
UVBWF5E43UGfMmNnGXZ0Ckq9guVp77NKrJouEiQ8Vs2yFPXQAAI0GJD1fX8z9Fly1fU5+syIaGiA
skxl0xEMNEPA6q418d0wdKDQLQzz3WYLdV8EdkEScvoQNXGPNWNyejjq9ZS9gnTvzxMqzNNUNdFW
j+rhmOM4OmUCwSCFszx5zkinWkHL21REkgSQTkmO1KtOnTwy6q6ZI6gbl6E2y2QjHEEYs95zEKSs
qwr7KaCK5NL2UXF2kYuuIhI65kWvOgyu599E8ymSlgHlirfHrIdiMr8eTdx7NBVln8LJDMfzULuQ
yISHDYhrYglU/lLPZ1bocnoF8zlmhUZ0k02a9iXmE66bz7q0wn/SV+bCZuOJoyglH/j7YGy/D0lO
CnvVzidnNZ+hooo4Z1JpThwEEYxfcz5vkU3lD8N8BlemPRzyvuDMVWY5PucBedlmP3KiG0V52wG8
P0660b46DLdWBSZFmvPKRF85XwzxfEd4821hpAbKu2S+Q0qk7trOY0Akl833FaT7ihG5r40Ns0Oj
9O5HvXCuibmxg9Uw32vMzKCNisJInG2tC4hwnUJRON+TbRVPK/Qh3KC5CsV7r2KHq4L3tMU9JdVR
pRn8FtVA1y2guG6DCFL7qvq+0nHE84sdNWySGAq7jYEWoFpMNb8i77tqGOcCgrRN1LuUFOK7uEBd
Fi/z1nOAkVJ36JSPgR+R4J7N+psgFQJ2fTscs9QgJcPXhn0AdINEiixDnaSiVYdUYB+3LbHJpJES
5d359jIfCiBkdHoAJSF+7a2mgAcQZuZTVLj2Ff58cQv0McgWFYk7UNcq/7OclHkZmOl9dCnMdFmP
8gE2dnMHPG2oV6HeenvUgBCKgkoD/se4hmbT79Ejysi6cjWLoAsNhCU1HVKXHhvQ7Lo0nUuGuxdg
oMqumrbDvql6r3pnE/2sM/+ckxfmwZalO5ssEMZW0EXfeyE/OLIUc19pKmQiiDASvz5zrIWqcWtZ
ia1dnKmw9p472HdZXLgXDGfOUnpcXfSdxb2CEQ+xUK/SvaXJuFllEjcOeV6CqAtDgfDxh7g+u6Dj
127X+1B5pf4++FP7YRW54jVG84fYiAdt0/f4/BYu06456puXcWSCvcVizFOMVUceUIcwb6qEdvDL
rt9l8UBuuMcAbjaB4bEo3RCFq6a/GIO4TFh+7lFdIhkoNNLZ80AewIDXAy+agEw8mslrbLkBAGvU
7VCwsuY9ZJb0qtqmXuueDVWnSIItf+Vdx7u3ntUX6ybL3aOpfN78mtekXOW6vNFgpyBmhNuPN5wq
cNGPrn2R/BgkfiDpdpFOFRDz4Sp86qbG7JMcALpxCgBthYKYtbhsyvVsMnku6sQ+dGPdnh2L8Udo
ME0GNM7CmKySvWdGCT9ALsq1oGBfs55xMdu5B3BQXyjU3omhxcU8ZKTe+UGR773KETztCEkWeVyG
t0z+xy0nD4V1kOiP8SDRUhXZo2Er89kuDUJ02lQ99Y4TPwF3qz7RxaNzxfC465rpFY3qo0VmPRJ0
wFJ7xy7Opttfx0ywKfrB+rUDCeWJ4K7gsUI3vdY7CMvMjwtXR3xiq70g3mepB4lzYKZn7aZGxWuj
csYXqfE+1UkbOQ691uKYcYMPhFT2NiSooV8CoKWsn3IyH/oBscYQ2T/bNgq2vl1qGxd12QkKpjyi
TiNypM214tbVOvM+on8ZlrIYms8Orn28tJJanPIy57QhcSe+I6WLxcSEaWwRE0y68WJbsfJglePH
CkO/FjgERxL84fJVO/mWyo54X09VBxO9Fc9Pzc/epTPGXBB/YcAVFfygI4ovQnZs2pHrxK2jXY7s
dt37aY2/gcBXM7CQD5CJsx9839xKh38fRrf3nFEJSiQzo3/O/HxEY24VG8tovdeolMbW7BD6BUKD
tJ+lI09tNepwrnKgBwtV1Ps4rV/Yzp0nT//KG9msOyMw3ppO867Z2HI9qvs68YiRMaOmvjVDEHDb
XoK8jtkpLaxIPGZNTlHdcrfDADIAq1X9lkAz4mUja9jqLTntkhXmYxMO0PoDOE7IVLuKI6lrCDI3
1Y3yggwNLCtrbZUCabhnPDHduxg81TLRRbvEU3hCj8TeELdCeoF5bJ7RnyEhDEL3zArJvGl7STqt
DRk93/qer93hGrEulpH3X3byHhBvnvdqcGctbOReYxm2d3MCMWuN/Jwx3SNC111VNQnMiLnirSvb
klOEwAlnqLVV5vwckUfEG1hs7ELQvOfL3veMlWIn2fSMkSkIj40JTUJvn0XyWky3YxQy3meiV+Zm
/BU74VWSZDmSFqXfeE5QvvD+4vJisXTdYxo5plGuniGssQ8ghVJzlhr37JbovPZlcmqYf5lvvQQ6
6ekui6Rlo9f2vmZMfuAmiE5uSgQvOsqZiZZCfdRqioo43DdVzHjRkx7ggja6YZPr3o56ML46jIUX
mgizfTXZ8GZiwMdeDuhiR1oSqBjVeMMzYz80k3lhWLPjNdqFtpPtUzmSf8B4lwWyP9yZbaC2wIOn
7YjicoMxMt7ZM4wZyMS0ItN6XHfSGHbUkDpqoIJwKnz9enBx0lzt7bIdNiH5f+vENKKHSlL5dajT
0Pi3JTqryt+FaQrGvpAAkWUAg4DvAcFMiLqpQ532XHbjvEEdQoIsZHYbYuIGdE+W16abL1wBZ2Fr
GMlDqo3qgKO33aJvoyBLomnTelBaV2gv7rE11OupVQVKJgwaC5YzatbVeOaySbUewE+d8AQmxBTx
9FdEF7ktTxbfSgEaPeMzuoYA9DEATgoCldA7lt0fKsytXZRwQgRWRjR6g1UdWAbRciZT7ibPq4Uh
kpg4NmSRK5gc/TJMnNXYJqyHjSA45+wtcj96dxjMxMkcI8BnRMGxylg2mQkq7BbSKls31NtAktap
M40HJnz5ivLhlr58afpAWhMTfN3C1YLsHKH9W2Z9562YE0xrOTjAs03p0ZuLJD1GwvF4CQJj31eF
Ae2nA8pp1vlXFKDDd3tMgcIatWWpBQZZ2wFb8hwu3E8zLZIXIrSqFDeqGdzaWufjAHLTC70KjGmJ
+ReBHJMl9rrWY6zZ3bIJpXrJXCtbmiotjhhEYvo/BRGT1ctOt2S6tbuqPOVWXu9quLSK0GZyVL10
QabkxFI0NrY8YdZDQ7t2aTREmzmb3LXMmH1EyB8MHSl2EyfHwnQOQ70bBa9nm/svqESWLA7FLTkL
PgNyL37EYW/vyyRNT56sscnzCO6DPr6EBG+1v023/65/1/yvWmFAi4JtMdA33f+Tw7KPczMIbEts
CTuHDmvH7kcVdnCKSicncsyv6H+tdAixv+eobivWS8gaI6XdoKUZ311vUhVGBidaj7CS2C3M80pm
OmCrWjxNhLdEk43V6XvCqWMWKhZiYEA4Fq44SLxFZIDRIWq/4fz+p6f2289ippLV/z5/4Y8CMq2E
uPoff/wjYqRf/+7sW/zDH9bzTTTeQIAfbz9r0E1/HUTPf/P/9YO/8Gj/bB6PLRXn4d+fxx/esqz9
y7++Zerf/nJ8q6NM/sFRidd3/vxfI3n3B4HPlk19Y0DZtAw+8mskj6XSZxYuPN3lf+6cUPrXkbzz
w7BgJAqP8TsEtHla/8tSaZk/TA8/MaN8G7u0ywz9r6/Er1nUP1J02e4fTdcE5dgsjnQM+n8cSuVm
GxotQ+RtFrBB1CDyY8jT7QlPnOyulJ1A+fYDsBkLQ+sjeDq1nazZvpfHceiCPdCPcgM/27ly8yFa
QfH2VmnUDruU7d5aawLmU0oLDZx7Dtl8FIps5gM8jWXRjPsMM8wiZa31NMzVjkeTuq5LPdqxGSyv
jdZMnkIS/xA6FWge53qpb9Pk6Ie+v8+nniJkrquyPKoOjFPsBVsH+QbLDW8aqBe5Cr7Lsnqu0MRc
qyVz1daNHVLz71Kun6u64rvA83C+n6Y2RG6CkKT5DL+LQaaS5n0zV4jNWIKrLcsO6FqFpUSZg7YJ
RBFsR8pLcKIQ3AQRMEBlkE0XMzJ5GZjg5Iu5Ok2dhGyruWIt406thjqfXliak4w4NdbOmGvcxIvG
+zZBFHiswxrVsf9bVdxm+rwvzJxzDptsEZkp3kUgHUcHZee7jX6HsYfSVgI63DL+rsHnaryI8+SJ
OYd6CqXf7vS5avdoCbyl7uCUlXN1P822NzKHZfXRQts5WC1i8i1lcKKDQkHw3GsdAgSTDMh7Tcu8
4TzZHsuSqU39LwaysInQ3c01i1YdXVSyb5qSicMJ3flLLWuatdRTfUWECF9FqgjETmtVzRq5jAaC
2zJJ/HSN1ZS6BMbMfxMDPcL4ULbmLWPo7Kvs+S2szMpSjxhfucaED6fngeEglOKsg/wOdR2LJvEc
GbtkOxHh9Ux63ftZGV0ck9LSUNVMuldFD45Lqwq0J200XgJIfRyDSKVsvqR5qfgW3wjQRRXkaOj6
8rEkXMzTmoF6CjVygPDNBG2ZVfuIfJ1NFhnB16hcvqca5RpSICPyGavzVonWQV+at55bB2+cx6TI
sz3lP2T7MNeTKLkjf/QpxEsjPwWyqVc6Q7GbwjRTxhO+MuSGeLZ4aSLzuZV2Sl5dqQBlBIViBSRR
OjiFQeecVlXDVdVPdBW+SNt2FwOt/snsaHyb6F8fLP5ZZ1VohvWlMxfgkQ4d6HCQP+p+4VkCnrEl
a+JGFDlDHfPwXFirlIoFfFhqkugwdI7NaiQDUGVqnrAvhDcqueJiDvP1GA9wqcuohbyEuse5wwCQ
9AtLaRm9Ohlf5jo2SsF9PbT6Zz+WxV5rpDGT06cQT16Yg2TR9MA5GABlaoZIPukzw/Bh4j/cE/Xo
fNhg2neAcJrbIXSYj7dhspqM0r7wojBVMYQaHgctDt+4TeUeU2eyV2PQMNdqyatJXQhTHuEi7KTq
jJ91gko+lz/8ngbkXUfKWG5WAhhltxhdv1XrnlnszL1nRG0qJI+d8j8rk8nUamg0tvCejN5hwffv
YRB3G7cMxiuC9PqLzGvt0IxOdoEPh7QgrLTZ82KM9qtWjRZdvGdl+SLDYnGCE6ajISvCV75Itosj
nZwPeHbL3vYJG5rj73LlniayZLBRVQ5iU5GemtFyXoUdejEXO3MUkj3YjTWzh095nD0oPZIORr2B
uKqjCNwjxioOSO5UuhJUDHLVeGZwimNv2I2uFOuoYk66xtgWnBziZlhRaXpJAVd5tZrFb/ob+yb/
wbVaUEp17d+C2bwZCXRahsMAcMQW+YbIphF2kdOqe9fp/GOmCCAMbVt+FGZkI1SaoJ93rb7F05ju
u9iSawdqPaP3ItmZUnNWqRP12GXKfsWjXq2JQbEW+YhsrmzwnbjhYL+kYQ2DSkZ2tXVYySH5S+WV
xrl3zqCIXPs1zLaINJuVXlT1rcM5fynDLljlUCyGZdcmZFT2kX0heym5N2ot+jTwcLFQksR4tsL0
j1M2xDvdByHc5k6/ze1QOzC3QTfRm3lBK8gudqX6LD6HTtYna8Pqp/dQ8+tdnGTyNqN23aOHuvGn
AnsKpyW6WSRW5gv3tn+EvUW/7jijezPpLAlxPcPfK309O4imHvNrNtsD45Ui+orjJLyl7wruTYVc
mKeDOU3Yg2jT6sq+MtC9vPVZ5j7RfmD/0SexRAGd7WwbXS4UAUPDJ8guZiG73rvJBssj/29yQZVP
/amrNBsVcOQxPI6N4ADvB22ZHvYIi6TckF9q7bEYh8iZjabZeFqc3joE8hBfHLBYnlRUfTL+kuRU
ed30piH2Y+OJZNjE5184xJENwwlrYbgMxwC1HXKaE4767sWsw3jDlgc9D7fYtvOzYj7jRUT+XADi
DcxDzvLWUleTcDErTH5pflokaKAw4fhFZ8egXxeEnZatqD+CSUBim3Jz0/WldpjE1H5mzCw3hVF3
dxWhhgTx2A7cK4aWB1jsyZsp2XnSS5nhdYgjk2l7WslN6YDCCivXIjzbtrkNlNcevd4wjl3GntDX
9Ba/Syy3o11w0ml8zl4aIau2MhguMZEZW6JR40PtipJXsykfgj6vliSbmMswH4NdMhT1be9UrE9F
4N3XsT+nPPZMsjICgUmjkEeBhY+Ffo4ZXiO+bAKzgGfT9U4+9+r7d236P12gn+VHVdTFV/PHkvz/
zwrdtWdwzN+v0I+f1VsKfujzu2vY//w//2L89il/c1lYPvp6tCgYhF1vpnP/KsrtHyBGhOAIcciq
+LZS/CrKDfOHpwu0MzZ3pAfmhEr+V1EufiDa1FnuGsC8/ZmS8t8pyk13hlP9nnPiAceBsaKDB8fz
Ybl/Ks79Ft5Dkhh4BoiYcoOCS6UtWGAtmZe2pzxO8WTrrXl0OVF3egblisI5AaKe+YpuX2ue7N7W
6YyZDj27iq5vqet5sU9n8ypFQyI8bvAm3zDOFtd61Lhi37luL0+VUxYf9uS0xzpnoHloaSTJ9Sxk
221CwjyIV2aYlmCjwiS9qKUCvxnjVVlFWRr+RMbgkKTeCddaCSuu+kXDNrvEzToMOTC3xHtAyB0n
a9Tsw8mZ9OA41WXVomfQ3ady6s2nwAOMWEdaf406gDVwN2GKdnM9PHSGcPHqJhHoBcoe/2AaeCpr
8rGhimg6e7GO0J3uYFL4kWdG/8BNMkbmnZ738IsTAAEpChryJhZkS6IG7h3dy2Etg+28jjwU9Wsn
AlY2p+Qwvq5Z2fXXbodd6mS6dlMjsGTUsQR7giyXqdsAuc8LK30p44xECLy4J7PVJJsBOVanYox1
B9UOC/elC3KHkKc+Hu/6iR0xQ38TMmzTDGnDAKthI9tz7KAU6VXykTBXUxRCLbG5Y53wD9jMt591
WcfXiRb4O34z9r0u4g4SApVIUIz+hWBtBM/Sj6thXdd68WBaFmfKFGdDsHUJIz2oaiD3lRpuwN6S
eDdJqbsf+iC4nFuGBUitgCqT2RsKJvN97Kbr1qnNp7KV7ZMIHZsVN5JggfsGgf4SqGp5jLMWbU2U
QVD4v9Sd2W7cSNptX+U8wGGD83CbyRykTM2yLOmGkCWb8xBBMhjk059F94CyqtuFBn4c4L8qoKps
pTKZEd+w99pFKBi+dwPN4oWrh2xeoQEafQM/IfYGU9W7cXSce2S77dFLRX7X1+7QbhSojXfLzNhR
icyegy1123TNej+j23MqwoktnyylDP1tsnhoNhIVad6CZIkuXGUUcyy83E5itvFr5pLlv4qAnmZT
+6ZDXCfxdEQjk2jo7icWyd5x1gaItnlkqhiT+7aoeFTo3QWqMNKngJJc9kA1yphiuAVSG6IY3Zid
HH/41qLdmL+CZK/c7ChIkOGiR7FDMe6hEYXcdU6T3NVKMzjv5nLal5pfbEN8LD4DHN4dmk4br6Oo
/PJjzDGJX4S1YW6bxBtl7FcERyDucrMQB6Ez1A9RlIdxH4wMCzeqqm3D3vSuLJ66Jbom45cGZZQT
2BGKje5k2iLicfSP1Yxa7mj2ZvHU2JN5AOq87ILcXc5p1FenOVP2Xmg7Edu8nILpagZCZN1ZMm+f
5MQeB/f50fIUtNXIYfFy6ZLW85BmJF4T46QOsIn7ha0+T4rAf31ljmGO9psghokfgPZkYyZG3n1z
8BucbcUWdIuWHuAB4ejl/MQ0BMWqmGdFfqIza7/cUyfS0YAxLlhJ1kWZf0sMkd1PY+N/K6tJsPHh
js0uJgbwy01eVta8tfjKjPvI61hPT2GqcS8gn3DCC5+14XLjpOO8XBngpp+GeQiIMHPAP+1H7c4Y
9r3MHtHvDjPH/Cbps9BYxWps2BhuvLWasLo+LOhgKf5nGBQm36Rt542Myj2P33bzf70ums2xG9GJ
1LojrE8NB6vDqvL/997+Zc72v2n8hjqVUdh/vtzPb2WfvX1M3793v9zwf/9z/7jh1ziCtc4OfIec
AhRI/7rhbTSyFiM34kcwmYerZOmfN7zFDQ+YDp8kneMacvHHG97/aX5kHIc7Dm3Mf3PDf5KE+ZET
sSkKAtOCpxZSOFBK/FESRvRekkkS8mJ/IqK6hgE40eyltXwlnIYOMjDxW610TmIakzBdNVLmE5o/
89z26tmZipexkwjJl1XBqsbjIIZb8qUY/fvW6o0jKFBg8N1Kr3oeQvoQUsCf4Wjx/Z4vYYMy0hj9
DsUgcV9TcfOHT+PfCN5+Vfn+/OVCB7Gb6ZBRyqDy0y9HUm82LDPIcV0XMVBFvHw/Gtndmv5fRcl8
/kkun6TnE7QNeo7pakQcxh/fxtSQVqBQbcUkKRPYCNcXdMw8kHLdpfHvfylnVen9sSZDE0cLxV6I
25p/2Osg9Q8qPprnqTboPOLGV+9BAoM6qJuvRHBzdkUWsOs23Va+gioj/C4O1NhvTZ/sL8RtGV6X
aTiyajq4OewHNBRNU18Znr3EniefU2M6tX7wZmexy5mGLrj9JnU9bzuHyatuxHl2UxoZVMpE6Jm0
9zAZHBQjWzLR9I4UwinOkvnNV8uLEPmrIwLGICWglN+/B+us+vN7ALsR7p7vexSo9ic1X+IFmZod
EhfbMDxk7NysWkM1zgaAHKzZ2+eu9ukQFTJKVtWrZcdV9QeY4e+/fyE/f9CvH0aw0mUdnNIuID/C
Rn79MDLydOuUVQhRs0yohWD6YQTPYdqveIzqHcjTyS0YH1TVSY6Qd7z5TiVFcGBMVW3qyL4DmvWw
ahvwgh4Yr7wtRfpaz4BCKu/+L17sn6p5CIgcQghtVls3h8uvL7YpQnbx+BR3pkmeoMf6LDCnR1eZ
D8LwrxjDPvbkahaRf1xw9+fCfMLsSsyBi4qc2bpckB0CrQ3Yem0X0LmZj/a3AwHx+9f5p083wEEO
B4plLF8lTASfdKpUZYGf54ERE6b8APkIyHJdT0jX9M20NgRJj868IHbJ9fGOwfd5VWJ5mGu5GynP
fv9i1vfkjx/wp9fyOSEMRZJVVQEgjgRisCbYvoQ9AZMDL7F96P/yx/08kz7/PLz1yHT5pKBffnqg
Ame1zCF8jp2B8heRNMuzQcaw2Hkq3AfyHm0YdXUbq9bItqIO8ls/my9osl6DmSVxAV5kl041gY9R
85yM4DDIZamL/pEQ3PKErJiMMYw3SPzyu4gKOqaE2RjOcmYY5B4LsmQ3HXB6fFc2uKfW2gEmOtHB
MgNqPMJLXHGuhJHuE2YYmy7q++MAG2dH0sTCRho8pS1TZzc4y+3vP4hfj1h2QzwUvs2iibvKCrA5
/PrwQt+p+nbgg2CLsVvcdF9017oI4QBf/f4H2X/+mrAIY9/FgIgfBGX015/kLRg8qIWznVMEeDTL
741nIR6AJAj9BFhu1GdfCz09uILY33G+d2b7JQnrdbKWvMoE76zXfwCk3zTmGiLI/maQV7qtDr9/
ne6fH81fX+en5twEcZ/aHcwwArHPszXtEcvgVS7q54QLGkiLwuPXqRydSUZssm6upO5mFD/iOQW+
jY5zIUTH7aFCEptzZNKkrogdrOPCnsoju+DkkArfvVyYaz9hOW23nRiuVUuz4XYjiMUBg7Zhd9hU
gO1vfVOxRQHSj2vCBfE/ES4IQqje4ZAZGWq2X/VQvCVZhzWmm+bX2RufCFkFG0Pl8KNmB8BUPCWb
dRTpCXjBsidD4+n379mfHyKqHcQ3lFZsLblBfv1oyyGi3HCaKE69BIV/ySGotrlDQl5n73//o34G
p/36Tf5ZcwTOOr9Bcf/pntaFKcbeaaNY2YtzOY7LV2wKzqmTWFsRZBMuIjCEN/NVn/5IAxQGLYGO
ZAFwwU5DS1zUbPl8KJ68taL5L17cr8vW9csU4APmW8tGl2/T57KvKhSgRRwJcVFXlzNOS884LeLL
X7wDnyuV1cdFeNbK5LUCJlKf3gFpl+kIKZfQKgS+MM+Y/Ht5GSceZqM8W4cK4/2Udt1bJbwvxTTf
eb2D74oUw8AlVVwsdcc+IG92Qa9v2fBk58oYECQAZv2LguLfvVI/dLkUeSxY0n46XAZG3pX2yHwK
/ZZTJWdJW5BwkzH3Sdn/AG8N9uTWnkJUtb9/k1axxS9PCZ4hm8WsH3jcykx8f30iUesOS5u2pE11
wVMyBRwxjHAjsqkb+x5L+javxV/8SOvf/UzfwkXH8JJ7xvv0uUT1bLpB6WGoEcmBfh4LVt7py455
Y2znlPb1+J5BBBSZ+1bk/pu92PCyjG8DUoptZrTtdaibHwVrTqsNmDo9/v4tcf90AIc2xXREgRvg
+eNb9Ot7og1hofgajBgpTMymARJWsk8Kvi5QBQhmKRd8cDxEk7bRtmWX4+K/9q3UewCmLxLdMsFP
7j2TqB/Alfe1NolXpoEG9H+LU+0A4JyrqkWa1rXvPvctlvt0r1ioXJA7cVg6d7rE/gvoCJnzrEex
L73++1ybj+Psvlg94I252SsiTdwUV5xywPz+/h0I1lv+l6ciBKxvOgFFLt8djNW/vgNNjqAwtLIg
Bg7xaNfeHTuHY9AoA7uOrlAqwwnoveyq02kFRo9/03oN8sqq35GXdT/I6Z4JDZcBea3MV1xITpIL
PoAhg/E6QH0c1xFLWMuR57Rf0WUzh7eAUion31q9MZic3SlmP0LcUdvA9A8flAO7xc6vLLLWygol
NvAYVQCBmEymZsw7Pog17uLRFtdyzGPFC7XMGrSLPuuiOJcVm3lkmG9qGGLDcdJN0UyHYfCvAIsc
BD3ITsNrI5AWDK/bsJzXjti1hmmRdWqhWKs1VMASJpnbb8k8IwzXtNCbde8T/Mu2eg4IyMqH73/x
UfzpkwCvS5Me0Nqt6plPJ8PoN0kTwMyIHXsrlqMXHFV7FEjK239Umv/T65H/TQMU5icULf95gHL1
9pHNb//n37mJ//5H/z5DCe2/MSKh7QXxYTILD/k6/GtLQkbDWi6H9AvW2gv/Y4Ri+3/7uU/hGFkt
scHakv8TBm/9jRvJ5u7jFvw5evlvRiiApz4XYvjJfLJYsS7QmZvOiqT/Y0eew6vWJIP3+9W/6Mam
TLMD/sPshsEf0xJvsL6GRA6h+0TEcc6debIu8dvBHp1yRN2und9IgfiaDmd2P7giCf9ohgjhZpva
UN8bxONPKZfEjD6qDZ9oIG1Gu7Yda8MxN71Z3Qu4Dl8CjzXokI3qpmvMp4URPOdFMz2Cbasf06Vp
yHgOnBsJR/1oM1i+9Em2u5BpPd7Wpa76DVsojGl9NdSAfDNj2Q72DMMQsxLT4aFZToyQJnMrx3C+
i8ZEgSnJ/apl0yHuiT2ul3sVIXa68LOlfuhYmaq4ALn8UFst3BDI1hbzUaSOTPddO1MXdlopsXGI
4f0wjHAE1yMaKDtOzaT1DJMximBt2gEodNwj8o582u7DlS4Z12mkS0XCeBp9tMuivy0WLqKjLSOB
5zBg4p4Wk+Hv8yiSZCARclXfeGHQTJeL4akfZFwN3PMsDF4re7QeWx8AuUPpfme7M763orjIWIex
hTeyzjwA1fK/odJw1YXjIyjciESKlHA430TToomq9JVs4QKnbr5lBF+u4Uvmo9u3+csIf/hjFAZB
S2YfXNOvzQEcJzHgb55Sd+vV3XSieBoODZdJuCkB6hx4V1xrO3hwQiqYWtEGlj5nj0LSlVpDenYq
oy5fFx6Oe+BgBnNvszEvDUS0SIwqVMNLSrRhl8zkr5lOmm+7EXUSjjrAPw7Dfc8t7RV/OwU/sfFQ
3sv3seZpYcRT4sWrW3bleVo8YF9MN9iwS8ja/N5jmPjbwlisDJWFbt/MVifs3kbnR1rV4Vdcvjzk
FuhS5zXrAh/JVaW2bAi+OVzomyhVxrHQXhqjFMgPZrEMWTzUUX7yh/p+3XTrTSOzM1IF724dYLxI
WeVX6USW3A5IdHYQQxC+yxrmFdp8o3pmhzQieLM9zHx+nuqUwtGGMTES+Fn+dLqHZEYSsXXZN4Rn
BiG2zM2MoOMMXAqMbNPc49cwd3lruUxfisHesFB5rFxXvUg3QPDbKZ53ZqJetiW5rwz3CO5C52gm
9fIGFm3Mvo5mm0FGJOCJljsjIXSj2T1NFyZiQtyR44Lnvq1NQl4sO8Q/hE8je+6nXFNfWOnQ7lsg
S/osyDbEFV6uMmzI6k62R/loC8qtySLUJ7cC+KvSf3FgVeHKCdPASA5JPbpfgWsI49pz+0zuwWhl
4x6hl+WhkiIcecv01vHAmevZjAvNB73B3O+VfNfttNHXrgjS8QrbHa4zSxQmYLiI/+s+CyfyE+aA
eeFX6P/koZkBKQF7ImAxlucTjIJtM0cLTxkapiP0leGR8DvvgiTrVDyUfTuHu9wYouL7pOburHAc
8cVmqAgIaLGqJ8kLtbdEsJbfq2mIJBvmRHabroS+QncWwNAhGhEWdx8aLDuhZaGwqZfqh4wKsUW4
PaU71JVlf8GTieqxQ2+5sSLp3kmVN9dN43kfvqEb+8i0NsovR9eT35yokgCAslKs3Bb2pjn/iUNC
218aBK5fhItCCjWJ5e6RoaVHz+wEFW+IlD3wcvhyC0hCgss9oAQbNPxAYjkgg57Q81G0W37FOrby
DvVJmSE/pecumcoWjZxeFOK2K1V6zdcWWBCLTW+ar8fJLi/JqIv0RlLY7TiHUgNxZjQdfWuYrhQJ
uLeI6Fi4h0UW7QvD13eexintZrQHCOYyZFuDh+aF2Ib2IhE22RiIoCDnizk/DcOkMbZL8Ygl1Pla
D/60tyS8lKWJ/IuRbKqBFZ8X1jttmHjdUnpwx7B1sYYHrkhetC0Hcx6jM+x6Y4uxAzg2HixUoG7T
3RhDO76ZyG5ec/rZpz6zygsf0f4eI2tyz22ZhwdhBf1jaxX6mxhy98OOrOlxkvW0V17zEHEs4RET
QdTvMtU+FKOri02/ZN2lgKZgHlBBpEd8k05MSivSHeT++dZzB+Vsye9mdR2S3CU3feW/pBhIRDz2
TX8q/Tn8EeHA2DQ5zSSDEvNYDEP9GgQ12LwWvcN0NNHo7SpFfHGFf+BY16rFXFtM1x7kAnJ/CWsu
9rPFLzyYqfW9gwB5HiGUZlu7wS54nmtn6eJeLu0XUU0Vgc+aeD48AJ17AbpfkZqewQdqkS16iJGG
/NUzDPdOESByVYgyumkkGl2EteE7V7M8QxfoXwrlIRwk/627RICVnmoLJ+NGIHu79xwt7+scBMdm
QN56w2sZXvHRmU+l1fvoMqAY3NsBC8oc0S1gIp+056D47od29QXNfrGbkjofrvn0mhdzMRcmzgMO
YDl4h9Z2MUq13YdCynebYba+pnLRqMia+nm2UHmIyMiJSmpdtBzWKHdl1Cq+b4F2YsvM/TuzW1fM
9RjNd9ZoLN0D1mDj0nZb+WpbDQ9YCrUYaFwr6jDG3aEmzDH98M0Xyn0lpEPdabyBzgXS4PK5ndI0
vZndgcRZs3Cbb+3UD+/EtpDc0esWOUUPIIyQUhNWNo2bCgB5zn3D+VIFlx0udWI4POaj2MCQCG75
29YwGCMIVCzbHJsjjCf8wsng3bkFJhpv6jmZ+XAt5Jx9M+BWhti25U/XuKxSGs8OOuBhXqbhh9dG
9JLEE3KDOdn4w5sGdYFLtjtPvgwuPZbOd2XbwqjvSSbLYq9SxZcKE98hI6zjlGeJeTD9BB+kxCe4
YeEN/IsZM+nhfs9lM/PmkM1SKl6hyviPq+0rApJf98W+m53lTURN4e6Edua3fDaS96HXgYvYQmFc
TUNXZChe56y8tQBRnPjg0UPY/PGGaTFsiQ06kuZGMGW+pzDNYp0DecGVGqYd+7pq4WHF2Xawo6J9
jcqx5vvmNNMeuUJuoRcBQTIgB35p2sFPtwhMmrdy9gAOJ7SKDkL+nUrkKCnwjOREdILlMU72youA
l7RD/LbM2wLv/tchTMU7clSI0U6Lej/PPLrbCHUR6MlZn2XfNY9thPN+I2XrXZMIpnL2hHl/0UC+
cXa2m7a3nPpzLGVASi3FTtttGNKkX+CprefOxDHZ2yBTca9ZOJsTiqZ4Rpde0z7O4jXMC64aoKrL
jayF58YdNrW3YWiJps6KHlC4KMsbB4wxOQZTbZXbjPxIjD0VQvRBWmzie+yjX9JliB4RcZfhlk5g
uc7nzDw2a2RZzMzLfTaBu2QPJejTW+FmToXDwAk/BmrLAWiKOSf7npv5tkln7zKr2sTc5PUQHp3W
MQBmBxmigpT37Gjm8GC8YQBv4lkyIG2nAE4dNpP9wLKVrFI/HZ+yZchhQdvhLbyhNVnIE/1dZQ+e
2psRXj5KErJOqeyVT7CqSv0H5Uf5TUEAFUVeWM43niPKdzQzzr3oOKiPvtNCKkIs6+885RkfnHjF
nvvZ30OaK74Hs+5iSiHvC3qY1tqD8/DvzXHy8SEWpDBHmQPXUtgMSZgIR5eZ3wYvJQrO29qUxrcW
u/qDOWfEENj9UJ8aYqh+RKGZd2fAEm2CX96rP9DvDk/LpIkqWip1glJaIgMPMpMRBzzUZu8Dh53j
vOEUOgpR+0fA1cYXP50rtatA40DG9oZTjTFtSxQVKd8Cr+rOmkdJFodN6JtZ1lMGDp506CVE7NZm
BbPyYA5EgKQs13tCdbszI+MA9Huay93UpPkJlp55YdXjszYHbMRpm8PLmxlakabwmrTm2kz5YBky
JCE5HBHurtS9y1HL7DzMvzgX5ongdA6vjWNkT3ZJtrwrIbjyFCLp6aMfbeAee9+RFzpN0p0Ih2rv
spU7hNAfYPvNyffE6Pob1245/2bczxup6Q7BnRzaGvrERImAXEgr/zolFflWN152IYqu31uz0Ryt
Hu+oSIPxfSqH7o5EJfYXgFcVtUvQPrrcfXs/nPrjVEXpK+VMv22j7D5vOJr7kRc6LwAfJyQ4m0C1
CdwOsCRdJNdI37E/j3bKTQ1ZJ57y6Z3uYWBkiNVvw01cQi+dho9SINnZFVMF77AAVFsIGwZjI/zh
cuIBIat9licpMA66bUmkL1yUtyUUH0tnUFsBcVivU7qxLmsgm8xSXs6GvaCMTZnpAWknvYzd0RXx
H80OmxDxD1AXNxje7H0Ow/RuqM053AqtcZCIcjiDXEb0ZpBNH4eeNG+8xWOfTtT62WmTRx77Ox9s
rNLjE6JmnADkWm1CSHdo30uMbRYwfz5OtY2IBaJxW4rsKoMwWm6LeayeWkcTb5ASf033iYowasQX
sIv6Le9KfUvu2hpiBCX2al784Ojbk3vRJqxyD6bu8c2ZhV5e2JLdlF0vb0r0ZIekX2PnHUkFOGLK
MCtnRMUvky1+Wu8Z7bL61i39VZ1V4tRXBVFWllktHDFO+s2OEhN9t9YI/XW7B8ETAnY2lpMiY20V
v40PZEdxz4XCi9k8jntRpQAEMPsh8F9q+xq1wPQ4BNTmKASxqY9M6F9EAgF2sGy1a8hq32Ad6L+F
TZ7uqyjQJy9Kpock9Qh1DwdzD+KA2w1/2d4xCMoOiaMvYcKmqYqVVIS3U43cMkMMxI6EAGAB7WjV
O2EID0d2OTZARWAHcoVbItvCLgGxMRhO9zrUFE9xZozqB+vbIQAhodHjW0Sh05kMTLQHbpMPaRvQ
W4iV0MdiyZtXnUrGE6NjVwnum6JLb+uiM5+SXLWU32V92xaO/Wpnhn9jF5X10RdroHnpksML89lC
y013s/dh37CBW3T+VAo9eZidQXo9dF3fEOGSinDXwSgnc6gSy7PKOg/6gVAXBLDb9AvaaW4tJqz+
cR2QvKWeYe1UuaAfc5X2iYZywX1sh2YwHqx+xtAyKXfL/dI9ZFUwvNkAVwi4seqj7eWvsmizk9P3
Q7OrVv+KOTFnoa+rrBhBr/dINN+AkhMz1FWqZ4vRKokzcmf39hIcYH85xt7B4wIgZaqb8KkQuW0e
Om5NZ9Mn1Voypudp6vb5RLjxhg3buCBmM5d+U6jI/NGRlXYd4vL+auqaKI0MIjNU8CEonvMml5dM
cBokb0QAkVjBbPvSCAqnfiSOa3lAEKig5mjc/6eWZD4dL9mMH2Aypi1x3XzJneAFp1Ud7dhTWrg8
GKlzIuUmMCLLW65oOuUrIeBLC7EDAWWZ4kynNTMesZ2EZ3IO+y0lJPKGkcBCvnK5vObI992TGOvi
xkoc970qxvArkxm8idxHVNKdd2jKqrv2og5UoEyhEeVIRM9arCDOKKs+CqMzkqOABINvICNGBLuA
o5ntRDWJYJZkYIBNyYZD5HcTPCSZAwxi49CvbeGYMo+oRI/XTHeDG3OujxNj/3Rly/Yt7jzsjahk
c1fzde+LbAZsYNa4+Ho6sQI2DrHGBxUoM5alNwRbV3bjs5OItVRmS8Kd01fVY8k40NsmTCxvGtoX
/m2NC32b1TyYG+7p0r8UXu2+pQbxDBIksd6WhKJR4XBFzewLuw2CW305Rd0qj7S6r35thc8LlmGN
/SgzbtsQMue2x4jcA67tZ2QLJEru82qUF1Ti1V4tHVLxZB572jsIcgh4igHvF0FY6asr5u5A4LF/
XSWEOdJ04bHYD8EYAL0LvXef+YfBphpNg+9W5NPl1DzPRY9RBfw1MeWF8J3bmiXLsarR9/IEO9V9
Y8Daw/4p5DaT9B441FMwxpb0mzOxXinKVkHGWFzDk+l2qm4hdyUE56iUnWxSd4hjZDLuxtoqDqUK
MG0kZEm+IFknpy6Zw/5pnAN06v6oI37rwF/gMJQDG6kgmhmgqZIqeawy6zEMwkzt3CH0qRPK1Dn5
vRrrDTr44s1GAs7cIteGtZ9Ti/zOWrmQwqOAJXJBWI2DHqTw0T6kOvAs+BE6fWZl1B/qxvYvGYgE
+R4vXXNgWlt9NKK2rxosfwVarJ+a5D6Q/k0+psOTiKCniMmEtz3Oic+vyabJ35YGSEwesdGCNcGj
grcsWcgAlKFAbK7S6BErMt28tjl+Zt8qviXzhDJ9tG1hnzkn8orFqdXxgJZebV2EWsjmkIaRcqAw
q3FhraeDd4ng+Evl27BqyxzSy6a0Gelt8iEA85r5zB7pBYwS1K5EWNKCgkjfiBgLTqyzmJWiMg+v
0U5hago4PzmwixQLWc35v8QlNioz9hqcSduqsRjYwFwSJpoi1V2z9tYTQ9pSv/hJgaYkEOML3yRp
n6WJ7Sbt0n48d6atPOrlgPWP4fTpR2LlRbbX9prIBDjUEFuuJc4V3eiq/lI4CrFE1C4YksZB+NuJ
a9LdGCTdHFwfX51h93jhVWfO57kBxbB2kUa6RRAv0t1StVWxs3E43tkAb7pDSGUkaZmiPhYoGUdI
Fm5yNWkc0ls5FMtOmAVS/QntLwequWK0OVUdxYpP77H/meN5njyUPCvzZ9lWc8ccLZcmw6Q+8DkH
liwKr/sFhhO2hbKmBfNZ5iUFaWqb0KmkDyecwCa2bynDornlBZMH2SdXPTa1ZF/V1g9VGuG9ZIXL
5LHwQeob5MbHJoCXkq9xBQ/TqDrZ7HqOTcItBmHcpbQa4ZOdY81LYdjRwBSA8cPJUsaett7Nf7hI
xV8xYmI9LHI7v6808bO8x56IsynI78sqnI8QZDO1z/ATP3X52J2WWaVPZO9QSTdhV9xWonruDCfZ
tXkQEI/IJbJLVihWKgbMeaNOmjcWOsZHm3fzIzG3oxHju2bXH3DszoQSssHZ6JC8KXpIHR5xYTDL
LlX0TjEnv5lFWH9ZTC3zLVbufkezll3idI1CQKXrb4Q10iFc1IdVnVXud8sQCHSS2dlrBgonRjou
jjVvvO3N2R5jo24dPG7BtBxR46b3g5i6e9g7fAMKPJUxOVL2gxQ9Z/awQKkh8MPSp0yM3X5hvpLu
lylQ2bY2eiZRVkfi0D5xRyc/hjy+pGi1ymFuCRWFuECL0KP9slhqOXer+vjYa0ACl0wzQxdbi21d
DHP2kAnXx3pozW9mku8cw4VPaqK0DMVSTe8sZASdgLCfqcm0x91WZP4DEC6GFm0Z4qyTfvoowQc8
Uoumy9aMssDYmqyiDMo2Ib76gdn+iGwqZzYvzAG2YW/W3+2esNEtlh2i9nzNsB/bh4AOTeygW3PQ
U1FKvz78XDr+T29e/6Mx7X+rwB2v2Kr8+c/72ZuPHIH7H7Xt//gj/9jLBiQBsXsFQmb+U8H+971s
aP2N2F/T9SzTpVn/yX/+52LW/puHzoXta2BCgUY2/a/FrBX8jR2uhSI+siB1Ot5/pW1HKPFpd0/Q
BNAEB4cN4REY6exPe1nli9BtocdCeMHt0dZQf2iPDfMqC2RG/gDKyJH0xl0EAbfe2cQcni2/qfaI
gcSpLAqLiBaTCGDl5BEcvg7yrW1Tg2xClDryYDcewj4rhxAUce7tUsaGFj6qSV5y3YrnJfcq5BBt
dZE7VXasy0Iex1rBuVpzzmham5vcDdxhI9JBRbHnuJQONXcgvIDZpeqzXSmbCzus3FOOihljTef2
HGOOcUXORClYVSDJQUasje9JPwLZ5RyNvuWRZO9lEuZGjGZ+SULNOpstl/Yceo7/FcYhwb1MSpgY
lB1fQzI7pAJzAMeU8PKmeCqG6mVazPwql/ljIrF3e2mtCHbx5ZvvL9nJtXHGEMPjP/iLW12ZeWEf
tDJWGB3p2PncZBdqNgz6FRNPr6z2adssu4i3bkcgWMaVJJMNS7rpXjZ09mUUXoWtrk52OuQIVkH6
pJ23Gf02v6eXLC4aq6t2hDHMr3pp/XOGYw/ygmk03Gh+CU6jwAhwWbbwaLa96TBp7scu05u2giln
rKwfWjqDeJ+qsiymuXriBq+zgFSRdDFv/Rksd6SqKrqgT7V7+uwVhcaUkEFmbfdvbZBN4mJipXDy
U1zQGxPjxA2zK3q/WoQK/KaEhnGaUAvTTcI35N4PyLrDtpxGt71Kcf77Q+CG+4Zs78te46mGBEUm
opmEIsdeVuOBRoyJAgu8K7Oa3r7O8ZW9Gmq090k/NYeGVnP9lRTrftCHXwho93beEOpz2dfqZrCC
io8S49S8cXUIBcCe2L2HFqOsTQ2I+uvoTf5T21kSmtEkrbuIFJwb30YaH3syaY+oA6pjHbkThoyR
Qdhg4gHG1lbc9RAduQOyVHAlzzMdH7+S2o+V1TLIqtZpg+/n9xkmsSM+J/PoU5ruqehqCvxyVcx0
QXvFomVAivUAKg8jyaTweGdP7QQqty1ndT0OvMcWO4sXqqrx1mulYl6GazOUzc2grWtnnq24HPWC
Z7Baxz4GbxlIja1kRXQVVexODhX4A77Vs2b0JSUWFioteCgdCZfLbsSWuGyNTrMdxeb4PSiSF9oC
eab9bK4mEWlSuNj+bwoKwuOIMxD7pIYytfREinPlJjdFj9+fLU/SnMYcmO7eniyCJ6WZB3dNXvVP
FuESA9OdKrjqI0s+a9tt2ArKjpIooLY+eV0y6osppMpnlJ36+c5UTji/uiYf0gPSgCnuvab9qMAu
MWK3hO93JHerOaKP5Dq0vhoptoOLrFhr/yJVEBZbxy3Nd/iPSXRuWqZxUCW4/IegLSN20AH5JWSR
5c7WtNT8BTOkFXvjQOSGrYl+zVpCS/GZlaRl4E+jRxs5pjcc0Wa5C7yx+prnejqMEfXslsP+aRTR
dLacob8meaf5UkmPZEjUCEwowkqbHwGk6UMP4+IKeAXOusxI9mooCPzEBOjctJaevzV9Yr1UEpFY
IAfvqPkWccJ2KbOAoXuccptRRGUuHuT3yhXtR6qG9m5x/eR7YfTzsaQX+pCTZsZkm/zFVoI1Htzw
4uqDTh2vf8wNzJD4Q/swRRQDi+F+7kWgEJOSw7FH07W4Fykrn3igQpl2OQks/jGxNarYekRAf9XU
QWdf1HRM9c6z8+n/sXcmS3IbW7b9lbKaQ4bO0Qxq8KLvMrLvOIFlMpPoG0fv+Pq3QPJKZEqXqjuo
QZVdMxllJiozAhGA+/Fz9l67WxhpON0xpJzVIhEpAaSJOHaETNGmWDZFEfZUMX56MTJ8YnsBFFoZ
EUOrqUPua1ZBuVUcD6iFZpJaFl5mTZ6dag83qUbUDmJqm2aCxcazyIemOoAvpI3S+c6wVeOYX4Rp
Pdwzhw7pQ/sQASbbrD51NZcDUY5HYtEMwJNXbietY4igZtrgv5kNolnlJrs0LIZ8SRSn+qzbEk9K
nyr/Few4s5EqIVhoUbkwGNDg6IW/5UCLAk/PFYkbANRsgj1BX980rtuYa2iEbnQMQHzD5Oy6kD4n
C3x86UJX5XwHUH2fIKPcD5VpDxeZXQ47VFM8BY2WH0v4GZzBfQ/bAVjUZcLUiTNG1N64Y9dumqzW
X2Q73dg9eGQmTkF3q48pJwBaEWgDWuKmYe/AWmsW5pQ6L3Wo9GwF5t15rDvR+UvbqZJwx6m7j9ad
dCZiZoH7TKzZSbvU1aDecV3r94IJ+23L+T9dlb1qbx1L94+SZ3gxaqZ9YzTSfiTALD+yYNuHBsrg
QiR1CClPXUx+Zo/LzgGq74mU2e10MFseWPq/2fSWZyVBOZ01p/eYU+PM06284RTPVxkuGE/UagMB
TSu2dmZbXyicVLepNC9X11aoR/ciItqM3657x9TInXBLBI91n4wJ6x2WgJbpeDkrQJlatZea29Gq
1HrTf6wyP98ZDAcB3sOUtHY0DvsA5W5AGosTUa8t4AfB+GvShi86thEPXTbgddu11zcZfdtUv6wT
HKmoAjoajXWvCmoInwkP8o/uWRKve9mZpFqXZGADrwhFc9sAe3uBZSDMpegaFxd3SNNf10ln5+Rj
Srk0CXa65KrlIYgIQto5lY4ugZz25r3JCChf5eEQYoFFy+fuStWiNqk7y42WOGGhGUZ6xILtTIZG
t67Nhwt31KtpyViUsXcojOrNQFCcQpDsy0MTSata2oP87CHc3lUSEmJn9xMKihEUKYo2TTRLdqZp
XYFpnemwevgsMB6chJ70j1qc0ejQVZNc9EZ57w1SmIiw4tBYk3kpjnndJOsk75OOsVDxptvkO4gh
qJ+moiz3tUz5zvvO6c5jWuEjBvbRMvWmdZl3CT2MzGHEtiEXSl4lMcI1KKIt+uuMvCMav5IuRNyl
dUfzBD0qVARzDjHMGYJCYUjCtQaB56jZXnjfAT96h04HwDDoh6xcl105Gct4Krj18KTJ1dTWlWRV
pqdMyDaHOdewHH8VmEm+7LsueOjpyeBIjupt7czKJ5rrQLNwaU8q2lKQ7lI9dZoFOuJiYytcmgw7
nZbAMIxjlsfcioawvUbVxhIY52nzOMR+urbDdlyy77OepNyVh9Czgl0bZtWpJJLxjtkAQV/00lZg
6kZirJwsWza1Ll9D1GMobKLI+jzmRAMHZOCl5fSM2/S9jwNyfCF8Ybg3e9LyFJ015iye+DoyZhIW
IGqniRRBAgW1oCC/1fqTYbMbPUay1PLFNFriyuoBTEwADNAb1eR37cK2ysgSZs5M0phfpK9VKHAS
ovPB0G2XdOQcL9IYIZd+tavZLpYte8B+hJJ6U/rx8BC0CLnEkJnDtkmoMrWoOPYmQ9uFbOnN7rQm
91D3FAW6DnLlhjumX8ythHRKADFp/oq/sH4y0WiLVU475b22NbR66MP53aNXX7MC6eay060K1UFa
Nld6NfgnWzdQCkGv869Ajta3mKYgzgQOjWnGrIX85MRuDBqsSsDiUqCpZ4928ucudHk63JYhy5EH
j8IwLqLyxXe65g48nnXC62de5aPR3HuWR8vKqjp0TFboKPZZBtTLPtb8LdPGccfdM6Cuj/TuzSba
K96VU+wf0fSTfaKXLr0/uBseHXBlMQlPGrIDzJnjmmU5SF+tccMnHM4OLJyBmLesy+ZJRmm1gEwL
zXiB7d0dDGcISWHN59AFby7Beki+SyKzzJriwMKGR00IE9VXzYn2JWNHidpMW0xmoPvbqLDzdxaJ
5CUZBvci8/TEQtAvizWfGbPZ3osBNCGCwGEPdDtYGUH50DhJf+RhJc6TQcOyryzjYEA8pyWW2ozT
u2HNqgrj1IVpSHSQH9iIeGZdUDip8D4JM/8t9Cse7Ro+yevYieRUV8I3F25M8Comsdp4BYkBhE+H
0htrqYmsg3PjgKQKr9R4rAMYdHJKkzUcg+zSSqbiqnSdxMRaSigC9AQWlqqE+YRbaylYJF/8TIdS
63XiE1iS6ZXMZwyAlafCGauQvFZmSXTdmIW3dK7TJzPI9VvEX5z/XPaQM7j7YNii02mYSLhmmy55
sMgeIw0SxFdc12DEQ7Ee86FFB6jtCD9Vy6K4RYySzaHuE2pgXBzL0q4sOBZosY8qLLIcxHabIQuz
ot04UVys4OJP0ZI5Q/TmWBXFImLKtRRuvkUEN4UbAUnxGDJCunKMIAL2O2h3iCeyW9YLeQotLoPK
CDNen0ZkwQ5suIrG3505QFjhCw04fj27Cavt6NvhrSyn+x/aH1ffHBj/UXRM8eKibf7rP2cl94++
DGz8On0ERLN4qIhQ+eAfq4QY3CwHVgmQA9yp5+KrHktHOwJZSyfw5kHx9utX/JO2HIcWRjUwPzpW
KmcGcP6oLacPK3OraqctSaDJNbC99mxHM7OwMNxDjFN0a8zcy1+/6EeD0HyZljXbT9DQm4b1wZRk
xkY5BW46bgmMz07UNe0V4mQ8SXoS3VVTTa6RUiS3DIP8Zrf4dyvub1CvJnQI2lf/vBV31b1hunqv
a/VTO+7bj/1uk5gzbubGm2Dlhxzxu02C0DUOa7TdvtOk+Jvv7TgDLKxtYohEEuz4nmnTJPvukzD0
32ZTBT1CixE6LeB/ifA636g/PTqs/Hg4dLakeQzrfbin/mCVwIR8DuDvNx4lQhh2jGdgBi1SOcO4
ffdUFdbnHz6p/85T++GlPxhlzcQgtlpv5Jq4b0qriNlqlEy7Kg1eB8k489evZs5X8uOVzoZHA3SX
JeAq2Kb5wb6WBH2CLx0cfp8QkBDKoF36NIdWo2emG9VUT3qYJFu+abnOso5sWrcHN1QRvds73RPc
OQQW0zzMSK8QF1+IZFxaXSbQoQaPck4yT5HSLuIyORrAqde/fvfASf709jHHEjYCZEKY3FAfVhyz
zhkPYUBYi7TFdGZZCVkRNPHYWu25rpoEMjwFcZ/+2BWEsPjWDsSlOc6zNVLEmH3Jp3Sic4Fm7Vmz
i1Nk2VvaAK+hyzQNLdUeSAg16sD/a+ZwcIoZrRcOBO2VEeMqT8l9KE39Tit0qHlBVu8wNayY7yCo
uFalvkwIHehFdGOLZBeq4ZUZ4yIdojUD1NUY9O0yjNNrWLM3VaZwab+pmVuLaP7TGI/T1lXQXqmb
3Yuy9inJDSKrfa/r9mbkEHvXzEk7HhczQlO3a8PampkZ3jmpfs30mA6izytbss9OZFyrlyRvSbP0
E7oOhDkf0YSMCxtJk0sEmV+vbKOLL1XtglIBIbTT3ZRdzuU4RoSbf7DB6J48j53D9pPmaugDGzZf
w7i1Kb1Plm66gPzi8tKDZkp5Ovef6bMhwwr8tRgi87USU/9OCoh+6I3jYEbDedAn5nm61zSbxErL
jXDM6VB0vITuTFC3CmOjFW71FsfJWxyWzp5kbh8JDdMp2zGutaYiDVZFhyDNnkEkHiQMzrCH0+Ly
1YhG1UjG+IEqCTjE50GyYjuUFxzA1mNX3rkZ3/evb0hz7tL/+DhRatBGcSwwOZSD7kfeiR+WhmQi
Z6y7LCswp5DyUixxouPwYPBV0akQ1h2pzONpijrtUxSIucM7D6qDWNLydq17shSW09yyG7rOex8L
T91aqZ5tiU1ulo7f6DfI9dNHwOwdh8tA//L1Ev69qf3tpkYY7Q/f9kxI/05CnBHs//WfV12RvLz+
vKF9/ZHv7CTnN2ofNi4CPD3DYYTz+4ZmQUdkR4KZyIAECBJL+vcNDS65MEAa+Rir2dLm2+Ufvj+f
XZDajR+kngIkYf4rvj/GWB9uTPZTB2//HHEq+GeGNP1Yms2qcgehZ7Htur7Z1UbavRSxQ0QjJ94r
LFrNcZC6WmWMTpG1ehF4jCLc1yPRKzALSSqna/rgFUq8+TVRidJ2tY3LQI0JQDIetbSI4Fxo+J2F
CA52zqAnHKcXp7PRoMUrqzPVwhnzI1HXNtg+SIpuibSq9mMa5RwM6Hk8mKX9xhyYZGBidNKmkluT
4Ch6jDpeHlmx96Kaiel9usZ9JmIo0RLowoHWaHFRpWq6pMrMP3cpi+7sYX9VMQc4Xm+4BD2mbUxb
w7VYIYh8AJpMbgbJWUsbqN2q9oP0k8g7wHkTrxqgNkTdwan5rdetnuSNMny0wUDvtaK0Voz2+pUs
8mvo3SV68qg9JIbKOeB442WnwfgpIzEiOGtoHc+Z7N1VhEBgp6VOcSzDobtReSMA7BXEjZHHZt4r
mpphPY63cWKF5yayGaZBRtpquXtFQ76/b309fJdZXD/FzmBf54zLyIby/KvYk9ZyrGFd504Q38IB
MAHUqgcy6eVVJGKDpUOKfcdnfWzzICYf2iseBgaFtND1OVsoZJwTpssaEOEL2Lj4HEUejUIZA49a
lIPb37La52e3it4DG7ntFJM92HSOfHLQ89IKVtVnZ4LunShvWrn++BiZ1S6NBBAJM13HlWFc9yDS
17GXpFdkOvpPtjNWJ0NV9tHKazSI3ZS9MREgSiStOb+jEhNnhQXuXEzVvEWD3flciU4i5COEpRk5
TaVRPRwI8QqItS/kjpUciaHh4SQqNPNCKvc9qI+G+UTKn76GJObf0swtD5lomtWERxrqetJV6ylU
hKHkWlWQ3WqQjIGCJD370QRaTJvUvTllBoozBp2hXcpHIH7qnCk/IE+s10/KlP0qpFW4xBQ3rAjD
jumU4+W9yAc0QOgYqmanRwECqKJvka04XwCTeOSIoaiWpvQ3aExGAPrmuG/ZZc6cdO5xZcqVjxZu
A1TI27CHuXc+vSnGwnn24kQaGI4mRqUuCCmh4UyrL6lpfMlJoZMoNGjdqiuXmtIl3e5SX9tTTBlJ
Es1F7pRqZ8rO3WZ455DEupfFWG9zq0Dx5U3VReAF9kok3lK0zmKWym+nsF9UuaStFiwV/dXlYJav
IlJbmlXxke6Th45UT6/pZ8c0hZGzpTTwbCO1Nw46ta1Jeh4cCt17TuNR9XQKi/7aiOVw4xTVs+3k
r8UUrsXUnMBzfk76wrmaYBzsKm1OJTXygMVn/o0EIlrLwRgAiU43Q2PfeEZM3zer2xVFproNfUCm
1oCyjpEBQqcYFb4oz3U8jWvahcXS6BztpiQpiQy5gTkmENRtnTo6UwD67KUqjCNj1PZQNpa97trK
fW8hjmyc0rEuaO/yMFFGrwM6KLfkSPOpjjaGQOWPy6bvEZeQTgqHPivWnqFmAt1UjY8hiXB7y03g
baVUOBTi5WF0tXgW5jTbvkzUHhQ0qhmDOm7fTOG0DbpguvLCSWzofTWLwAqRiAZqXMFIB8CZ4uwU
2OFIl4jaberLbK0FLkHQqqNq7QS6T9uxXisQJuBj01KdaCwayxzNNp6BMnikWTUt0bxgDvAHoifl
WBxQVHq7iEisVwRY7ZFKTV96fqrf8JCDFEEwECwoB50YLsNg3Tvfon7m1J/0awBQAHzz3GC1BJMe
kxGZ9DSqR+R5b6Of31uDlOtKxVsNBCWSvmbHhMVdsWGIp77QrrtmOKuYKydBLMIMObfxSSkCtZM8
YfaeGN94CXJ0INtlCUEpqDMfJ7cpBE3RqFk0c/qR29Lsa+ZEpLYQ+lXjZutUZ1AThSQrkNO4IEjt
1CWCHDWLNlZq2cdkIlUOOchtMfXIvL+GLYnCbm8RS8fzTO0tpYe2G8rQWAVBfxEV8XViOfYqTbRx
M3l9vYwb3d60gIm2xEFUW0uwgos57WlEs4nskmqXgc111Lv3iVO1/gKmu4PyvlJPVcKyQUhtTt58
7wR4c+ZoKZ0oBYK1apTMzawYIHwqpoK/0R1sJPz2Zeb1u6APn9uUVT+L7+iKnM08XJdziBUo4XxN
41JfiDniKprDruo59mqEvbuHky2Zblv2o5jjsRorAZghvXTPLrEr2qC6Dcml2CrZBWJp9HO4Vj7n
bI1z4pacs7dckhCPJel870zd0UVhSWUbVBwy5rSuhgP7yp1A3zcO3itkfmtH7546kr4A989hqdPZ
yEOOMZHJNguunxi9FlmjjEtCLxIWVcCvB2iiyDqt5oScYZlTCs9xaohGEwtjO+dQuBeLViZWBSAF
g5QxtXtsPziTvOpkMmpAcZC8ozP3xcYpGBwxDTHrWysc5Kny3nEADl9iVwVnOeKEGAJhHsXXJLT+
ayoayOj2ZWIbek8m3VtVc4aa8TVOTTmjZHtDDniHYBRJ29cMNjSZhGYMWSyvVa+3K1WhsdEUwW2i
ndXTMYrTB5aeBK4kKbyNLMgwNNWw1ecAuMnDz9mhRF8qI3JuNZDKBBGoKQc9rIJoZUXNXUVvfmyk
d+lpoqsWyIofVIx8tyopUUK9es+qcbyrcjeDeu86m87O2L0tK/evURM9jG5/VRZghIlNPtMc3Tgd
crfW6p6Mtr6vOb4trCK1rumrlBsYbGrDtkcc1deoPCaV7lMy5+eVlBWhSD8nkb3FYLWbGuy6sbsb
2qFjxGhz0pnsnPCa1CLHhjwBPvZkXSYCzoBO2CjKQaXpN6kefWZDe0Dp8dYIezubDc6YJ+QmNGx/
6SQQ6wSGa/ZdqrAgWgsA/avEmdRF1dj6MkDjsLKULc8AzzYZc7BoNYxus/IjuzuHcw6PW0kieTSm
G6sEOfUdy693UlODHLSdofGU8HjbDapOOzrrZRofEYlqq7gHNC/Jer+milO3ZZJBdekHcWV4kJXy
5I3kPPab0e6OHV/0UmbdhYPr7qBFpbZohCCzoDHJJsGRfwjMuF0ZFklultbrSyygLwkTKVxeRGbR
jp4DNaQD+YHBumyccVVOkTg1Q2BcUX7LA/IJc1fhKyVLMjnm2iifOwTID5A0vBUxhRHpakojlAQF
101Nc/fSDwwDEET54mXEqwq/JpyD3Wcxus4e3QnCdtk+SfRQsi/FKjZR36pcbp0Wj1KgG9qjiHPv
qcgHbR2D0rgv7HqVO/MJXijUL+SdaO9IeVEWxIZzPaCpWY4MJZhnMWE84ETKYKmiQQGgtbOG1uFD
zcMT9vvqyvXYpMIyW1lt0T0CvZQnJPH1M0GdyGOEnMenjtRYeGaz8pBi9SIZmXsnDnAw5sFyCH1i
KN3UX07CFtuq74L7QkXyWg9NbyUjGdxYdUWEaxxWe2qw4aY0s+KxDmvcIfmAtEkIdWNqub4gBTh7
K3PD3RLvWXzxmSRsx6Gyl56kgkZ2YJ9IfgITMGlF/oKaF7xDPyW4IBDAHEtdxbdhSJXHcE/GD5BM
bJbaCi1aF4RnI9P1bWjl+tnA1AAgOyR1N2qafTDnO8NMDz8V9oQrlTnSClNI/mbLzj/jtREPyjC0
BYoiZ+EAKX32GxJFU+a9tyXUqMPgeRhPEyPu+eiZQTH7jNc8McmyaebNtYium8TeTLWIKNia5oH0
TptZ3jicXXAlS2eQxdlu8KXkunDXUxC8D0TDf02pcDZFpijdRivY0Afzno2xRo9R5NbNMDnNemwN
eQybxKH+dACBt0J84sgq11Me+u9VG5grnwPgPlJeeemEcXwm2ifeCbulILcLeShJ82LXsP0NuA4G
R2Z8lWoDuekhlbkX+wZaH4PJDRbesznVl7kemWQUCgCFbkvox5TSPqxMf9/SxjyJoU6/cKFyHfiV
e8RvStMta3FeDpn6IoLpc5unauFBtUE15oVImUYCPnxjZqoSdZFnRXAMovDcpymVo+FfmEDHV2gz
ezLMRfwYz3D0YcqeS68nJyZM3IuqQ+EipmRTIDBZlmYzHOdDPlax4h3h8xYiAbklra/WQR2RlouZ
8yGKTM1CnI05MOKZW2U9s2jiRIpV19XGyaYEW0rTLO5DCviAs1z/EOrCAUGo3yYqDDZ2sPGGYGuk
Mj0EeX+dDM7KDQcWF0VJrusbUsIU4dST3LQhzkao4JeJ3bxye454svLkjEkITq6qEeS32EIHwM3b
eqIJi/y+IBXJ4kbNAsKH6sS5xOXxPEX6OWT9XGeAjebaIN4gRNXWfaWZa855wc7DibBK7bi+7qss
RjnfyF3f+NNaE3M2j2iSg9EzSpV97l12k7K3DdI0CJPhRe9asMupRkNSODtjWGAYw6uaJnCBjDIg
e3ryzUdCnJbjrIOS2UxvL7MQvbrGhC8Vu6g8pZ4HOiDshxO9PPAxnjb2t41Iiuc8MHl4LGKmPtdB
MWmLIHIhAuiRHPWl3ifXeW1oN6Mt8pYYT7vHBTlHfFNmih7IQFqckzYxPrED1udKyzjmRjVvPEml
t8BKDqsFs/RTZ03Bg2kQwSl7zi2LNsZEs8iLUe3hIxhbrNvtFu+Ag1B0TA+qdbq9UKW4sUbb3na9
WX926oRhPeaO+LlEFoN4IMd7X1U8jD2LJx+Nfwwgyu3BJng73xwQaDh2Ss5u09Kxru0nztLDQ080
5i2ye/ucuiZB70ZRTgtHry8tvtNrMzd5MyjvH0JzeK+yxFxzEiKmWe+NS5LIAIyMAdIjy+rpG4hZ
i8UQ+5Ld1ljnNu4aqo98oZR2AqwAQwMq0IbcZkBBhtRmVSrmHBN6C2U6hrSzXvnurZuNGtJkc6Dg
LvML4g7WiBhR9oaCFasP452j+hSOAOZPvy3vgNi/1BXR8yrWFskQv6WpnexdWZOsVaPIYfJNaub4
2HD48XiGXctQFxAbPhFApx1wtkTX/yN9z/9NRDPdYBQ2Q3v/+aRuGb0UtM5f6ujHxiZK9+8/+Xtv
0/N0xiuMkWeB/By6+E077zKRo1+u68Camb25NDD/0drUfwNDp/s+vUbrOzH+e2/T0n+bSYnMa3Fs
oKCHRvovpDH+iRCpM/r16W8ydEaNT9P059ZmFzluDiVMbZ2hlve5LN0n6RrhhWcGQAswwY3PnIpe
g9So3z348Z+GrlFLB791t7aboVy7fVkjHeUJrw1UWT22wpWBK+xNZGH3+D9ym/2fs29YdLKRC/zz
O/E2TrHN/XgXfv+R7/Ni7zff9Obu9bfYz/lO+3YLet5vuqE7pk4jHQr1H3eg6ZFmwH/wLdjIYp4y
/9Fdd6HqEScLat+mYT9Pn/+VO/DncTH8bxvfhjDnO9oGxCw+3IGBFZGWQ1Lxzu4jQrbqAaRbGV/Y
RFoe3HHASCzB79hzbjuJ8eN9PKThgcRipKg6WDHDJ5QwN3uPA1ZDu4H20w1m9HFfalV7kbtj9DdT
37nZ/8eU6s/vd56q/kDlJ/PQaWNPGTvCfYadsmdRrUk7GH4kRxgdsK/0oRDkevDNvPRP43ytrwPZ
X730h/E27fe8olxXuzhsSNqBskzat/Q2kxzLddJp5Qq5KsWwgT8kNcXlOHssHennK9/1GdNywt6p
qRCw44Z8gamLSQLwQuYezEQrPj3HGi8zKwgvghb0VOyW6EvrQt815ENWZIhCabtPSRmi8pEa88OK
pspTGmuKCG45yKsyytlQ27y77SlZcCu4+MWyMV5nlZkfcl8vL9Dtxhc1karPUTdw1NOq8hQbmblW
OfUY4vm1XnxWfaTvmQFuUfSTL+xH9IoHQ7+3h3Lcu9AktpmVoSMdw3iTgLRIar8BbVqa3RPxOTp6
MC3ZMD10Uc3LeF1HogR9lNwLJ7js1HANFqNG1LIaMu3Jbgr/2MJLOKjEf2wmU9ti+EbnY+srFTnm
KZnCizwHNlfRV1x5KkHU18Vba8D02HvuS5tTLHLeLUA6JwcODcjfenWJ6EtsGkAT6w6K/FKLrPZQ
9SNktY7CPyBasERZuxlrHblhCYpuPASToj1eVyucowsTw2iZyAMCKbEILV1uEBmMqyrMm008mf2W
jp69NgfUghRROJmVXq65sGjOyGr3onb0T0NYh2snHFpGUkar6FTG10PnWweeGkAv3TFQPhoEz6RF
Ho13GHv66zEfW3I0bJ1xT0cC11DRh9fgio1I52sU4HDZNPrzZXTpd+B5esvKTjQRUBFgo2o8J8Ba
4+jbFgDS3rYr8ptMkkolDeQlEEmx9DsyIvvRmu44nRPHh9i17PtlH+X7yarJBYWFBLeBu3kUMAlI
DCnhEaIAs9JOHYcw0ulRt0CZ+vwVdN9dm7bkuJtiKyk4/ci7Q1+1apyOUKSMz1IMYLmwDoG3aWEC
SMtdFi4mncz0kOZ3FdV9gNPZFzvBt7nIbdKrxENRNAx2LOUhBCTY0sq6ZIUPHWRKliAYkHQfXC/Z
AgS7MQpdP2pgEhfOMA6rMcM/UFYt0riySm/xHWgr5boclu3buWW9Sr0RhTjooEXaJWfHG8HvR5xr
Yay1yxYa1wquyVYbSKE0OULYDkmNJsMCeo9MDdI9YK2b2KMpI9V4144xPpN42bbRuZdGRb8IBAvm
h7F5mDJ56UrcFa7e3RDr7d2bMo03IFTXhd69pKRYLQnquqhTc6Xy4q7RoEGM/kZG+WeSAtct86pV
5ho9x60mWtLdP/vKibbGBE8vkdBtfFCUxuXohockKEyGJFIzF4FS7iYMnKJclFbZvBoIkvjcC/12
hA3QILK40RpoM0FMsEPh9+PnHoEFJrHayRf4P/2XKEOFqXNZe3IKAblkQL8wKmGzDWQFc0O1gFqi
Dow8bp5dXYFcNFMTBCqpEKs6T8W1F5j00UBpXCS67HYZRpqDxbrICUy/x4BlzpbW4ahgZNzVPkla
U0tb1go1HSWcQZ89c5mRDIWrn0Cf6XtfdvWNhMJ4NXRWtYtLGITEtvM/At1gAEv/pcXOcCKo9bJS
6lCblloLJ71TRdIe4I+xP6T2AyFRuBErF2SlCo1FbaLq0UxydUzpdUvdo3HZwjiA4oVaJklRy/hN
E+/D+TyWaLW+BUgUr12dJqFfNuIpp5x3g4n1DhVrPnnJrhi8BLWwM+1I6poWmlF+ccNiB5Wu3QoH
tLHG6X3X+PGzxZhobcfBtRtbzHiiQNuMtD2wqoMrGLTE2Odois80DG5+KE2uvu1XP0orKSo+bqCM
9E1hcOxAHeZ+kFYamh0ZWtoYO/hq12UMwilPSPuGC3b89QsZP8/tv27VP73Sh9KCBJQiwtlm7fqw
I2M18N+NCS4WZ/QSaI7z6ph00EZBjKk/r7yVi/Lx12/B+lnT8u0tIMWzLYH+Cl3nB+mAVxZDUjQT
TawekxGeKlND49VgdctcJjm1S/9UGukt5Ih2lwIaOAfzShJBVGGoFsgjkkx0Ok3JyDiprxE/+SsG
uKzyIcnMZ+FOpH8C5lslfRbu4qAtduY4NmtymlgEYcXWUvd2nKu/0A4GpI3eaJnX+TXvQ8PGOida
/l52/je/2x8v94OkLLEz4pxTYezwXgQ3TT1aS8U5f0XvfVr++qV+Vuh+/2Td2VnMHxiT57//oQ4z
BnqqLYF3u7hzv7QusCIl7E/YFYpVLaqnX7+YNd8qH0ovFLJ/vNqs3v3h1bSYRtJYJuZOxP3V1Anr
0QIKu0+G8M2IaXdIJ22vuiiLDl5rTrtWA91hplhbPSdsL/yEyGy+yVXDY5g5ctwkTdceGBdhrRkR
s8UxX2EqBn2FqEGsTFUWV0hwcWqlNaOr0eC30dZdNJZ2GueiRM7liU2d8uvrnC/jw2VS8WMhcMk4
4nLn2/mHywSN5uga+8jOkcCwUifQl7kFujT3He0Klyr+lE5m6d98lX/1oP70sh9qarMtWdxKxgia
LWYXqHhzU4OduQ7SBSAL7VCo8RwwIr/CO8CZc8DK9esL/8u3wKIEjZyUVo/h5c9XnunG2FR5bOys
GApmw5YYi+YCaAK2qlbQuakcwNI69ablfGLVl5tfv4G/uJ0hyv7x+h+enG6Ap20Uob1rs+6T1cTj
uS0C65BLhxtbC/9GazefFD5+z46nQ8KmWyH4989XGw04WtsS1KCwmuRkDOkALAgY3q+v6S9Wej7P
P17lwzU1FgqgTJT2Lm/pQg1cIM0ye90yHvmbr++vXmm+FN30BKfVPy0Gld8V0+TouykYIKV4xmPm
+Hv2mb+5or+8TX58oQ/rAOePrkWoarOboHOIh/YyoY209QFm44bvrNs0bB3wKXN5DIiJo0DVVn+T
WzRnBX/49mxdd9Ebz30ln7P7z99eEI2DdOPA2nVuUu0mRoJ3lWkbe8y71q6CD19WfroKewQQca8o
38JILl0JyQ8s7ouGXwhLHICkuboojmmYPzq1xbQ2Nh/Qw5R/c2C2/nyzYVLCYu7RlOAdA3v4aVHB
RJNC0a55a2F3RAVHqHakx1ti3hGbadPF6DvjGikMPmyc/FDAK2xylCMxzrqVEEUGn4nltO6LPWVq
sE6YfuUVZ5pGQxbBIeJLVQ3hXpc5JRzyBAMBF5QrMN298miganG7rqaS2qoKJK3xd6JPyEcdZE5e
Xm+fmqb5VuL8Wwf6NzpQep80JH+dpfn/6q54+Ry9ZP/xV2kQv/+Cb50r3/2N9pPp02yiYCQijlv9
W+fKN9B4oln3xZ9aV/5v4E4QXSNqRy/qmjyj/xCGOr85gmYatyI1sIXG+F9pXVlfuSJ/LKNkHs2p
mgLtP74JWnQfH0QZ5qhzTPIN6phx165D/nDpNhjuV7DvMNeOY5clOwZnVcd0HVzAIvaKTsKKjsw9
Fs9kjQep3k9RIZwLA6lmtwA3zJ8NO8AzKVKczkMPOMUaq2B4gIjhb0CRoKGqB3D/51KIPGbTVNWz
k+lMyEojxnOIZSicI6fzxluzgLgPzf+n7syWGzfSbf0q/QJwAEgkEojYsS9IgpNEkSI11g1CQwnz
POPpz0fZp8Pl3ft0+/I4HI6Q7SqxKCLzH9b6FgEEa6NVNFwQmD2s0ZAtIscCGDklxIpBAGoWGpoS
YDwmLPDljOPq3jXQ/G/BMLPNM8HXmttqJKOnRpwj8CGjdD0JZHz+wirLjKh7ydw4J1rlHhh56WNe
gJu2MOKhlMtKq5hYCTJpvsJIL0BaBY7brixLs845G9d045Le/FJZoCc3juNPIA609lTGxMA1Y5Z3
YNFL+mrB/ukNZO+4k45EgJGVdvSKdBZVrm852XIodP1+HOx6NRAegFihhRWdozoHPgUxbSGMwX9o
bXN6MTAit4sc/yD4DL2ItkxDu3gpZpRt+E3jTHplo8TBzIwBFtesIbjEg1XNVjTfiSjrDOgWV5RT
bU1VsKYUE+5zj99yBwu6MbzUpfFcznlgVnj6DQ1jYxqQq7SrmkbqR+f6viQkXwnQNHGqGFs0IaIR
1nx1vPDtsnwxYbB7JCBf36xw17UhFr28HDx+G9SfrlVtnQQn+dEg6RwhJkGZxjFQDitOdEbDMh7i
Cp/j1WPS6eO5jfSveKpwdyYJspvG9JmQdj2MDHwmdWWAHrlO9nvWoneuUmBkBLyzabYQUybGhIFH
jpKLDQ3tSridupCKje1fM3CZXh0OWgo8wYr9C1yn4A6C97NZCtIb4O3VfD5QxclPVKK7vK93wxjk
aNr0bCMb11yOsN49Mbf5AXhKvrf52Jyxwmk7e+yhqQqLt47ZziazMjq14opLqG7DQLOQKlvJYvad
A10CxZpFgYFgh9xC8GH8VK3w08LuvoEqlj1HrczvesE2lGVivISRy93hhsg0+iY4QrJSHlOe4qyI
HbljB9ksrURikcZBh4cl1P3HIB0vsHOpx7AG76ZuwISqVL0vbVQlkUu0FxopUDhF/A4HX+BKNJJ1
cGVFEN+HHtJPabjzARQ8WKRFzxYxMtruQDr3XLF01UGuEJX3kIblqS/rTT/qMytbIgmXdRy2Rx/E
LQrGqcUKGokVyhp0ZOamB3EYTP2ZO5ilrdIueV7+7DqkAoPRLqRvJF7a4rXN40Yd25anDBI2nnb+
ywIlV/5iGW7JYSQerJ7P/8QlKjP/MzUY9HS5e9LmWf9Zx+jSkErflLaCjjGwkddd5nJ1Mn4phI8d
7uBlNWj85EuM6vC3Z/bIBkvOtIPE5kuivRDKL0TUqjVJvc1tHIK0zhuwMRkeYwiKCjHcJOcXjde9
Jtxy9kJwIBtcScPBCZOrsFIbLoksLnbrx8iRM7V09bRfA79RnoOo1EvEmN/XTdR4EHIABZNTcze3
SWcx3hrZgoP5ZLwBZ2eFx1aQcn8VX02EXKIK8FF+RzH8SLClw53rYom2QUB7bijlR1vVX2UlxErv
nGo/2r5Yh/B/vdYgB4bZYnaSTMYWQduY+zEVyXtR5vlalxAWqGdkfrLAKyNkoBXnk8BJyE6t8eRU
Oc+DawafZYKG7t+UXfZ3otwvt5NkqcfkgQbZZPv4XZf9qZkrYFqGcaiHO8dsenICjCGzV21UTMcG
jcrjULQWZ1zBkG8QRPARydLnD3mlTQzMAd52AQXs7VQMhuElrZy3mkk/uKivP/1l4RhcU4M+MNRA
5AqZxmStzjzPMcKd7DJnOI7WNWW9SOYBq7VIzpPScwHfwLV7eVNGs3OY5y45IZnniELjd4UxCcEI
1Gybd02YGCJkaD8nkI2XfZ5MaEIUeqQFdR5SBl/ZwwHvQbPD8T1tOs73mxlq4ToFRbGY4Wps5ajc
PXln2HdNWLUiJS85cP32ibq8XNnMuKBPuOjOi56Wr6UOQRssQZ5D2V+0TuEsCmsukQAxHdo6dq0h
sO+NoU83xPhQ5I+O3m9rfZLZrQKr77mQ8DDFofdylJr2TWNauzQoQDLWlq6dk8QuvbFo5TGbGnFq
UNNeqmHyGHonCNaZFRj5jF6mj43imEEqg9WsOUf05PI510oBnMypGDNW5TpsEUMG+kRdqxOFLALn
EkonXzbyRx5PN73bvhWtsenCErEBStu7Mn7v+/rsaoZzWxihAap7rldOHDfnUEceBhBxnVJvEL+i
kyJQDJa2ZUYcvRmVvFJgGEl1qt+3Wn42hw6jAyJHAp6EfUJSt1X4AndcKwkqXJvEF0U2M8I+Ue1m
1dk4+sumh4PMYgTNW/4ST8Tt6Wb5Pg4hVpLachdydkGU89k8VkysL1EgP1Rhjeci5MkTjH7vmlY2
wVpzQvAqzoxaaefA2mETCKM0/0wnq3whbookECdRLg2Z1SOPnMve5FCWcnx259Eg0TXTyzd0YMkr
RnNrvkhfM6Gpl4o4Z9sNqlfAo+GdU7YCkktuvw+xr0Cn9SSIBCwj3vswaSJCafphmRutxOnA3EaF
cGpMOK0XAcj/Q6Smy/rNzS4mGu/QUwF6ecmmbJlWncR2FtaHDlRbD6IHYZvMnOCsW611SGPOm6oa
uOe7IVjZFosz29achyphRGlFgoBGxaHEdTIGxnbQq3QfDYzc+WnSURGOoiVnEAvDsHRwrYObqpNI
vyKv23hpUXA0HoddScohsSOrgBOrXIz13FVLcJXBXdYGLm+nGXPtkw7iYQepzqQoZM9cLdZPAhu6
LaUXAJFJELYiAKezHoxBJI1Ol29LQoI4/RzYB94ATvbJlnFySKZE3BVW1p+BpKMCaoTxEGWWtoYL
F5xnDXMeHqU6v/AykgdjnvnpVhFXE7Q5fQ+Qvod9aUmSO5xG3YYJySAseyrpgbRuUMmYr1OZo85R
BhNzfUri1xRx7cvkD1992Wn60kCPvTX0fG2i/eXEkrHcJMk0/mC5U5MeMnbEaDQEl7w1ethfwM9Z
L/6oWFaZGXFli6DBN0V8UD9vifAUP+YExyiXkvbKGjg+R4bvvpVNNT4AOclvY8LEEgimJs5jqnCG
zrHep56l4ywlSTDBTy9m+6OzrRifBuxYT4wwLz3ZJeRbGUUUDEsSEKYfulNrWDzLTCxy4krcBUHF
CUCYuDpYnRpWOhvATz2rwd3obeM8s4Sqr3oNpHM3RQJdD/20DnejGyYWISWmDvrgurYhx+rmq1PX
2UUOKNgHn92kFRB+BIXDIojT8nN3KV0qscXQu82eQ6/pVvpEyOOq8KtsWshxMH+0Cu3fdrSG8H2K
CxZJROL0h5Kkr0UFdQJhYaIaYuSosaEDE3AzjRwvawSu6jNAlX7rR3a3D2PSIjZKmPNTi7a99IyW
5YsMRmS0pF6eWjt33ovRaC+9QQs1Xj+SNE9E2PEhQMu2JIYah46DktVa1kFu3859yRxEGC79DxgL
dGZtACHDsazg1Ep3fmj1SDtO8chhr/QQUOA4p9pX21kEpjSZSZpa0+jybnYjKLciFf2hmvMOgZ8Q
73CppmbNR776yQoq2UFs85MlTLXgJSddxSXHWAW7jn7jy4yumcwZDH0vayME61WkRs9n+0IkQZxU
T+T9zFe915h5qaY7BaR2Z/DcxCHKrUV/mjDmn9ubBs3bMXZ898z7k98NrUHVaTf1a4ZW23N8kTPu
pngp2YkS1gIAGyJt5rTYrnwtkp4RDCOiPW3YCFDWA8JuXBbLWBV8HuNyLI5saKNjF5nBtoJ8jK7f
Yl9S5ww/l6Shk/uMDaw1l2FkqWKV1637lOYRmgdZqEcQ4dM7fQwpSsCZLWuBpcHGeuBDV68JIoNS
1LrjaaqHF1RQl15rqwfQ/mzkifwrEE7qenHqkzHc9rMp3+yZ0ZTXTWl7R1TNuKvkwKBqNJuXrhLN
1xjoTrbShsK5FCDmL7MVB0/TkHITQegOd6w1Qty/4LbR4Bp5sqYQ1g5BwWoY+KeW78Ig1pZGJMLH
Gp/zHpscqG2sinrM/I6pNz5CZ7hDbVAflXMNxkB5crajbFxgoW92eOWdV2yb46Wm3BpXBqruHa2S
HayNUaS7nHqzXrfVlK3mjk8nXuupUMfKSMkJ0Rl8LHG+TBu9GsQbdrB611V6cYebimAsV5EUZtUW
mRJ0S1RgYVMTOe9W2njSasQaUSqHDyWC9jMoU3JiOqjE9SrqYOUxyeJSo50F2E0Lr5amtKsV/iBU
9yMYE8qieHoKBkIMFrzFIGVct4zppYnHZTMDiqhfgCqD9BKwyFxpqM6BunXtgyXT2FhZ/ojbh7QJ
5BiBhqbSIELv4MCx26SQ11nNd+NLWRBnf8y0zOYzTCYY+W4ROCAi3DmPqnZssxObDKqAnk442oyV
NVFfKISXhEGVHhhNs/AEdHw+zKk7g6hqg4+5nsVN41wNkE41wtlxIbaTZwtH76aJ00rHtcayeQ+v
WQt2jnJBvfpWMf0oXco2HXb341i51U+ZDM5O19z8WcokfHLznmCE3tSHzaBrxo5IwHZj22O3g2aK
elXLu6/EQC2+JhWAaN0oy9NxWTUO0ReG36wRWGsbrqSr1XCij9NpxjJT0eYHDFMWWaDkh6XAii9s
t5QPs2sAMzZpIgPX3quot9ZTmgovR/x76Unru0uZzqxMLSkWrt9g3YnGuMAJ5PofxVyai0jW1SXV
x4k7u2m6dQejgX6xFdEZCS7ZXyAony1X6++IshsfilLlO1rHBuCBVujHSA3Oys1LaN6pLvc9D/wD
jjDLq7V02rJajpZTRMpzQWrmUZq1fOBjTyUcW3sjasRuNPz2JWh76yazjZmYKbwZoRTdrgvYTxFH
kG/MpFo0Sl6oyev7QY0w+YPAug07UWxxTtuvOj+5d1+QXkcPJNfwzeuVPxvJbdnl0akBAs+YCuZS
k4GUGgizIHHCDL4cK3z0Ry3dWhKTbp2KDbUd8en0md4kZH3blu2r28/5pkqaYeOGpAuGQDFXjo3E
nDiRZ5cD65CH5bCTTfSBmdy/TisS7G/x1coD812a3d4MYRywp0tvfCdGiJGT8xgYY/ojFkN+mFFU
L1zgobzItNliCGu3bRyzvW0RDvDnadYqssSqcDckeLl/bzfGjPGqAYW9TK6FZRiG/ZfdmMbxmw8c
JDvcKyiE82uV5mAkuiuH3BqWko8Q8UW2MpA/iHKdTJ3aDZnwx3/3QsSvK6rrK8GebUF0tnnEpfi2
yf+pn6w7vxoxgIy7CXdq3BPqFrpimO/L3nKbo+Pkhn2CJKdI25uz4dxPBf2fDeXT8Kae5zu0+ic8
GZI52WTWwTqLXeZnIpRZ9WbLWVkrq9Hkc9Wa6ckFsHSYbZG+OBWrY/E9kMuG3nhXOXEYS5Ou8Znx
B6KFthUXsx+0jzoEnJx0MPOAHnVX4WAQvbSRsK58Ouvg6hFDAafXnx0MLvgtw/EeVRK+ICaxrjfN
enJjgfZYiakQFBIiOA4FzNnWqSFW4uDDmTOKQ5cGXIe5TElLSV9MUej3rRns1QAXy7wOLdV1fFl+
TzL7seWE1CB/hR4jV3kuv8eewfcIVEmT1JTvwahpVepTObZzGmVSn3GzGs82ki+CghOq/AUWeKgy
reyw/wVOxMo7HR9dcFvREsga1b3xXem731U/6iQ6gKhPpg+Z15ydeu8c4+8+wQC7tiW+kNippnJN
uHTXdoJpkv2Gxh0fFnzmneabj4Gcul05AsFkyy69ZCZ7RIvdQi20a88CHpn2xbl2Mtm1p7Gv3Y1z
7XPYTbWh58zcz3ExuThvBjqia2/kXLukkM3jqi4zuTEr4MS4hsHqc5po7+l3kzVe+y323va7e+3B
zGs3NmmMtyvsCBNIvo52rXRDc77YsklepZmWb4gg9G6VTy2Sd5brvEkSHPRdO9Nfbgb0Uza/pCpf
ap9Q0k8ttLvIA+8WfLWiK6rT/3vnaX4P/X8Zuyjkscg9QEW4Fvruv+xWuxyunAi5TiJqrUOpjcFt
MWBMb2qR7PJMd3aVg+9y6UMW8OAPHB2i4G7DEVcX5qhh3NttUDFNm0mwZAKAwTzPkuFM1wPbzWJO
+lJnfYkfPBLVBf4lLnMT+U8wRYNnq/GYpf5xSIerLJashVvDyYh9b8TofwBIFms7Ku2dHVbJvelK
4H6jjWjRNi6lCI+56Z9c1Aa3RJB1TIB9LIjBhWdc3OnZfKAxw2moWTpA50hnKc68ruPKrhx7G0bX
nKbWpkDl7tC3fanSk01K7kkURm95hSWDB0MB3gn62PVQPWgYTkUxMHubkuaOw6U6OXUzrhsqmRbZ
XolNj3PV7T05psl+rnTc6Wi4bEaGdpl/KmQ014K5o5CU7Yn8PyRvweCvChH3S0vO6cqtxj5D5af8
15CtwusoWSAuh6yo136bhJsoq7SEW9dS7CziFi3pFGxz5+rqsOyBeBxUlCSfEQL7mfkuEtoULeeG
TjiPruGtU0xcQ50B10M/uMVC4t/7vRu+ZwYiwlYFkXfNDjmPTEaYFERojSLZ79MYMKapR8Ydo8WZ
TyVFZxq7403ihhohRpjD+e3apaE5+TmJYsdkzltWjzpm9mUbCGfRI+hEJlH2IZ7UjittJvRvUlX7
2ptG9KCFjflUkQO59Yn/DJdFX3E0QUK/n0l5RiBniRvJKbW0FDAFdJlXx2OoTio04sdcbxJO0dAl
n8zhndlHQieNgURZ/3ZKZh0KT6jzXBOmdFtmxcV1iYTqUwYU9vdNNIeNdQ+rOzgMcAgzxjt65y9i
kbfOKQfxK2Cys0QyvvdJRjt2xOl875n068qpZqo7L4PyuonySdRrFm40xYkH7+MdOABbK5f9FWR+
NlmNkGLdmYN6wrzNpitH0oS0ORroPiNO7xzaSFK+Bkz3oq2AeRTczZiFdO96j31C3R9hg46mQ4LH
ddsWF/1AunA98k86A2EfAEHXuzq9BqoS3rSrTMxgq76CewqiaWbUROhxEm9j8k0JNGeAIVc1QL0b
0Qnqiep7pjtex7sIol6wmhKe0QYPiRu9oGnhATFjNkMqwqk6AxrtXbUujaK7vupmLVm03owhK6JG
K+QWREvzt6Ra3ObKoLDgkIK2Iwxh/UXqozOZTxiJqp0bSCj0xyqpb8v+/vs0/FuL8P/MjvFQZPz9
X9ff+aMgWj1iCvDfv37Z/P518LO48oV++cLLETBO993Pejr/bLqUX/q7rv76f/6n//EPYtHDVEIs
evvMonwVNVxAH+2fnRXXHbcSVz/EP4Vx/wN3tHr7rN/+gTvoH3dv+IP+sX3rf6bRv/5d/nAJid+u
7CO0HJaycED+Celn/uYaFtnVGIQsh+uEFfgfNiFT/00IAjYcOEd/ISDpv+nCvEZ2oIgR2A/+FtHv
L4Uf23Tdpo9FasIrYd/1F8VmTFw6HtfUx4CBLBUCGiz0tdGYq2S0Nn96n06/X5N/FocavyrQrn92
YAeGgdgOT6rLl7+KRQKAMkWJeBD/erEm3AzgT7VtErXOC7me3eoVHy6Bfs+uWGtqPkK50JeheKEo
w1Y33oxpCbzA3P6bV/WrvuiPVyWAIAjJy/tWOPxZF+eXERz2rPK9Mpy8Nql2qT20AF3U2qCUnJkW
Ki1bEtu+duCo0PyvJt+65oRicSXP0ix/f67+Vy8I45FfNEDfr8gxkeqR48HPBFHDr+8TkRalBtnI
95q5CzcUALsgl9aZzaJ/HEOmwaXU0mNJsiPhRva8j4prkuAsO3TFvXWVHPzQ6lze+62RcmI5/o1l
RTt6R/zMHTVwPvxQ40dKTlRP+WAX+cFG9Y1ObGTOMOEhMRHYowr0RKMvzdBdNDCd4bDiKpfL3JQH
vdJWzBnWpZWv4pTym+FnF0Z7WDKAcM4zYGiTvtcim0064AYp4bAmLHIdkrTNJQvRrbHNLd33oqpf
WEvuNFRMc/+u5TcsIbmhB7EvwaKY1jZxcXX2z32XlIsahMSyHNXOap/8ods5CKBSgFAC3k3W4PBt
A9IF9pGK71JHLskXWTpy8jLl72XYIhBHW+2nt5McLsSu78GEoIsW15wLMLdZu65iB9IDIxlcgCuT
fE8NaERn1Yc+tNeN+BqZzjoW3zMdUFn1a1EV7EKebcfdIyqAXc7cEMZjlzLvjfo1XecS1sO2hkIS
pA1vD9/GJaK4woxfS0QY3J4aUq8Wdfw89CslRwBM9cqo3kN1NPPqNmfoGkXOcmDbiPdhX1o8mb3j
6fC/teiSDMVWq+9Ycqxpi9/62Pcs6x3L0I+m+WDnh8IE4DQ3QIPa051OUZ1vHUT/maPWDL+WAYEz
d0Qbl5eo9X8ESMgOKB6sleqSo1bGw9mc2WotAz5aZusTY59ZxUcgKh/HDG6VJcVqHDITT382DFju
zTmAQy0ixXhVXh8aMh2Yooc7hUFCGZ35aBOMgzsn6F7BheL9EG6wYcnHaBaRS/CUlUmOfl74REHk
bM7J0mWM67N0vIBc79aG3ahVWzN5WuQECeNSKu3xTdZTus0BlVmLseqDQ9iX0S039VHWjX1fz706
t2b2h6rzb91///pm++We+8+uyP+/7LMIFF0ukv/9kjxEc1G//eJa/L5bv3/ZH/Iv8ZsFEkoi5vnd
H/uH9sv8DdCDI6hPMRB8327/vBItfgX3KH8JHYvBVdn6f8Vfxm/cJzaXmeNQ7wAG/Dvir//R5klE
59zTNl57w5AUBb8ewCNAs5zQhn6b98QwyCQvN4Ossk0dk19TN+4u8nuKSjB2Muh+mr7tHwLJOudP
b9m/uC9hdP56ETjX14HQTUmFXRlC1V/mQzwc5NIWPv6mpAElQkKfJZI14SN2dxsS4FRtK5tnMrrr
IlZkE1vUhRn4h5hGnYNVPHSVIvgOLM3TDNlFz29EPJbLyGlJG22d1WCrm9Ig02/oYT7J9n7qIJj5
OBhkaesIIh4HFMSclh5Be+QlNKcxGY9D4u9NkPI0tEQasUHMgqMWl9kilslDF4naa0h4JFK5WOms
iFeS5oHQY7xv3sg3WnUOBARq+ZemKR/gM6wTf9rGgTghk76GsSThgje2QS7wEtooaoJi1teobBbF
aN/2eWasJayqyTwUWrG24fz1zrOWzCwh40tlN/smGLemUPscUVWcsLVX1WUc5avTkqo3jXDsLEiy
VgDqcLQKZyvAW7hFdlc7894e5U+CXbeO/gMf0yPrXYQf6lDL+mz7xgYxu8dqYDWYJmeT4mXYaJym
LvHaKX0n1OkzqoSNVpBAGkwoX6Y7+7tGmiwwZpHRNqAPHNV8QyN90JyuAV0RpovBMBmC2RdAVbta
P0N8W5KGZoMOGi7VGJygSbJcY6XzIEhVTvPJi9B62MMe3tNjBgQFnLvF4uhS5eNXnzm7sdFfZxJf
p5JuLhzKF3S360kSzl4Juc5G5ux+AWfHffyOPZZrughrYUGJZBDVe5Pe3wWa/+KXZEjb4lwrl+RG
1T0aolgZxmeREaeo9xB/RnbPxI0VI2ImVubCw/W0THya87FlwEqqs9XCrGWWpvhoVqH9iI5EJ+k2
/yyu4WFTmBGNS4qXqWteFrcfeov7xdexBjD7Z0PoKeM6Bg2f48x4sLJnVdfzMU6G5Lmfs5smse79
se83znRdrmCG3FkmPJA+uVG5u7KrfAtg9sXu/J+JVpDGfSzlY2NBljCg/yDf1u9pN5nMDPOuDOJn
y8gHFGQF+WkhvD1124/VKrAZaktxtKb72ikPSndJughpRq2puGU4Ct0HmgkpMqeWrCQviFsaUpKC
WnYJqyiXydYJT31gEOlEx+zumhxLlmQ9z3FwiiJEIYE/PpdzuyUH592fI2LUc6Q0mlEfKrKneHII
2I1s4U2YN6nE3tEbrKvkhC5uOZTGPf5VUCHWmpylJ7Zo2x4jR91SuCCaJwmFUYCWbvhoKMAkZrYT
Bddkb+gdkSP2HTnc+9AEeGjOj1FvyhUYxFfWo7Cs2TDaYKIn0i67bDwqs9mY5rjMZ0fdYNP1gir8
QGJ9MnwWTnCgjq7eAchEAxO5wW5M3B85xXTUyc8iMXZxBfZZJzOC2IlsTXzGVhIZf4tAK14XanRW
Rh2f6Rub5ezrx0CwLcyNUw3uWIc+VTsoVwJd2zlldKC5G1botAhAq/u1NaHy0Wx5Iv3snkwjJHx5
+YAWd9MjPl1GMsSZ0JTvJOCsCEB5ylhw2vyLlRkn67SRCWESBcnU9aMCs+Pn7Ws3ZSWCso5SUzlP
8zBd1IBmY3QPo2ohlfqLPqsfWDodZ1G9tqn8YbYmqxv/Vp+I15mS52QiDaEt+XPYDNK0wqt7tEAq
Ms+TpZ1dh7cnMyqPrcye7XS07KC0LiqrIIdB1fFWOcNuQE9mmmIz1+WXSMhW6OI3AIjRgqU/68jQ
PBDCgj24KolDr5yfVKxPoxzR9yRgWIZpXQkX+ZaVNh5qT0JEDCq/2X0z8ZsuqoYkRLfV8Suh7TNj
7dFkLI6Fs/F4wu7gND9XcA8nRV67lXX5Us+atzhRPBjINMN2eO1d/5QjX9EG51bv27sZdCyEUtRa
TZ0czCLYzYH1swqY2sAcSlesm25n3lZSjA4MT9YocUEPwQhcTHUWLzXicAhzDpAMjb4H2PaGR2/X
IlL0UC6c6hJV8hQGiWfE2gFyfg6CiNj3otw0c3rW27S5Gmnum7Tb4J6oFzXeXgQ3ta1go4hdQVMw
NMhr671NrluimLMX14p68ve2fO1E8uhnDcZkOJ0Tcm5kOlXBIaQX/roN/U1Z26uy+EHW4l3mque+
NnZj6q5aIh2Hpt0Ofck+MV8ZpA8iz7F3ejSikY6J2VGXyh9WVWttp+iuKtrniZX2MKRbl0+6kxov
zDuO5tBvk9kFje5uqMOTFT3ydtbCeYXL/8H227c6YdAWWsBz7PrZAUkuaTHsgSrYNbdD2uFkvR1Z
8CKjhcKV1/faLA7TyMkFgXSBRe2K+1InOYY/y+km6JVXKP0Yjl/42+/o2hFlzotaF1+tX6BbwRBN
KuAN9dsS8eJXZOafYWAdhd3eCbveRknwgM7c00kUX8jafXHicRV3X600ltXE0ckgtpH1naxGHsLi
hUfkqZrkXqU/QN6+gjP9EWjxqkni207vjiAYl6KQHC9+eJAcWrPRI/Us2LuMd6T9LaeS5CmZ/ciC
K0Jes95dRd5JZ26LcTowis3IExPL2DW2mSCw2+jeurl7CRlFp0gbyVxi3Zy/Z2K6CbWDg3w9x5ft
yALveFgeGpsoqRQrdYxCIroAMxAcCuGwsjiWCbkOQXZZbee1Y7YZxGGOnd1gpkfdjX72To+wGFSw
RX6MVbBqHlGCYr4JE/1QBFdAqEvkiZXc1zlJ0rN9Jjl0GSLjjrL2NTzk8Oebx9hKVqLS1mUTI+Zr
tgZuqoXooydCslnNzKaXh/yx4pOaV/mVUjsOW5Q7nxZz5TBCqVPxBtbmrQXeaGGPKY5mOGhNemON
8cpW9lM91u+4nH2vtRhcpH34JCtiuIgGACt13aSD7b4fWGYvAbPhnNd1CpuCXT6Bw3SeCCnidIlS
pFjkljyVof2K6uDD9LvnBsEkXMdsoaz6qU6wqA8Ej6rak3JY2oAMgpFiZn7oUZZ1HLwJpGQhs3NV
MrHwm81kSE/12tKEhDVIdzmE4y3rwUXoF0t3+EpDGubovq3c/ZDRfbYR0Y17wH0rO1XL8TzO4bpo
1iD/jxWasZVm1njww5D7I7pOHc4dV9FqYpwbD5sZBr4yn4NBP0edznngbCJGtlGyYVm87SLrNCfO
uqy721HP7nvjROqehywbBPcPTafLxcu7KDoUdPH7MLRbezBvo5IIbq0a9yTFE/5T2V9u/hTybE5F
sB/QSMd1sfVdGgmkeVELDWMKFqnzYA9EJFrtWwRZgra+W0lfZyZP/dBp6jlpUd1M1VMFA3iutF1n
3riknkVXybFFSQpEdl9l9sXIHnoJRHBiV9w1SeVelbNkNWXZY4BafJn3BMe6KrvtQIRQWjYzjvI8
OZSOnX1oMoQVEMzFDplYTQ1Zu+0Lqpziidy+HroXVNg+baevHJziyY11B5iA6D/7oSAfLHH1jZQx
vcNs+6gdO7YQjhw9XCv6B+m74b0jMvtGrwKgtRz2GcyuMnkqlOt4qZG5Z3awvJNaG/7IqIa3aVRe
t4OaNLy2DIp9TMpJt0S/CiQYNBvR7NEOfmCwRcKv/+RbOh8qned3VCn6NpNTu/H12LgUmN3Whgra
oxNO9V7PQazqmqov9HvUxxRm46Kv8+a+yhLxgMF8XGpuxd0Sh8NONxpArr2FzEtDIaLqgDtu1saV
PxkOaRaaiQKkT12WRGV1yAui3LhrUGehPdtpbtkczJxJU1p3zd7tVA8EQqP1GmuCBRWrmENrKZKF
zelQQOWgnpn0+FI4rXrSa521MpkhNzG7mHVALtrRIiT3FZKGe8eCpXqk0eH5cZoge3diu3vRUiEH
/A1hfLT6Vj5INw7PrtCn+2ZwyztjYCPdW/F4rAs3JP3wqcfygc6l3rhzO559lDGPmmXBns6jyXwl
gGpYgxbjKGO1c1/36v+wdybLcRvrtn6V+wAHDvRADm/1xSoWi2SxnSBISkSb6LvE098PtH0tK7aP
tyPO4Az2VBIlqghk/s1a3+pOQzx5R6AQ7SssXG8ni84/GIQ9vpO/mp+7bGjPkEeam6wzkr2MVUkP
KTompKQHR+RYbbCWoCuirgffWCLa60lxtALTIGMqkUg6mKDKucFGAA6RIQpxq6TZYCwNdANP5BhH
y5Hj6TVxMvPE5NJCcekZB0wLijMlB8SbxedifB2jDvoIo8m+zdQNyixu0lKq/r7hyVTkrjdKbgsc
uKuumj4QPrGdHJrOWZVBfwk098HPpxtgnS9uPMtR5D4qYFhPMCjsFgeWOx6qOIHYPrhrx3OWKPrC
la0R3oFsHaHT86BVBCUnOgtM+5ubcZmZyZtdp2sEtss+TDdtDmiWyo2LwXZGltxYj09+aOvbPKif
RrO4mLm9j3X/lNndyjamZZTA9S26bZ+eTL1+NIxWrEuteZ5I1luoMKailO6lt/uHAEBdqRBis5aD
SZ0e1ajtQ1/d+HHY70ujglyOtXtH1iayw8m8UT6iStPOANDka1FFbH6HZoMUeIP8OV50pr3p63aT
N5q5KtdN94TSnEi35gB+BSeMvwmz/LPMm4f/fthhfYVg/bFb920XRoWuE7djsQsBkPbT0AUxCRWT
4w47N3uizY8P09iNN3BITVAXmbrS3bw6jUU43c6hoHcDvJmLkTTJTQ01ltBON++BAAKO8b5elXR+
awg3EydnfpOi+Z1K57eLVXt1ML7euPndK6YwvR+YiVM682p28ztKwm95reb3Npvf4ODrZSaQtrnq
slS7CgPedTW/9f78/hNAE67hFVbXUjRiO3QDOuEgBHKeBKla5UYdnE22dRvENCG+NU6ZaT5vwoCT
R29R81TMuy+eoziXWL3gk42i9l5PiuZeLxoJKN7FiTTV7Q0pbdZGzCedGTicefPpRxzb9O7MJ6JG
ysp3cz4la9XG+6hEdVZW0RrlB4dpN5+rGurLtfw6bDsiwXYq9aPXvKTOKHUl7uwkFesIKsAjMgca
BpajDFCiwT1UaohubVEYH4HQxrWsBCrxhEv+6xIoOjCPw3wzNPMdEcy3RTHfG0ks1Kc+3yX1fKsw
zykejfmm0b4uHX6axT50uYnQGcgPf76dmvmeCrws2o9jQd4kd1g032Y4zB7iADXrwp+a6RtDwgO6
QAGtxzQa2MlSf/ZV15YLFWfmk3I8hlqSfI2XQYyk6SgLRVcZMoBKeTbXndsXi0lSwJkxsX64i05e
k+XEPETx2izN6FSyxUUlXBHsh2PC1SKBbaz2gjdbOl2xw2E/0dzgxdhg+vMQbLZf/6JFVsPSk0ja
uac1L+dhyiMIO0WRgZxO3De/Ms2DTDgkAPP59KssgagUJAYM2MVALd8tvbztLXLoViWW62pDVAJ1
Cd3CskPTwMBLuv4iQaY9g3TGNarbu4huczdo9kudM8rp9J5OYqKunHh8FfY9LptxLbTgkiTVJWsj
udYGFg0IIiVS9JzsWBr27zQxTxpasWurE2LdlPYDFhAqIM201jpqUk5YVJRoorM7f3C1o4+Ne81F
36wCPY0vHtC2hduCO41c9xIbyQW9f3RIKpHuco8yu5P6VWgZ7TrvoxGBw9hT9LRZiv3FfY0xybKc
iD8BbALRqSZI30zM1qahjnCp9MUg+eNE90VonPtnpzPI9IZlvcnd0V4SkWFuK0IyV0YvCMuY7K0f
FTCa8wGilV45G4apjFX0+g2hxy11IWkH7ohAwBgeymJ8LEyZ3w+A5W5MP4u2dtf1/iIkNeXIOi5a
ZWlYbFul0FNoQKWtxC03PlYK5Od9s+lN3rXCZ64ZYLpaaKHyyHlpXgcSjvfKSJEFTPmrY8D/kQ7+
v8zz2y28eaxz7Op5rGKSKiQLmdqYHWQlHryZYbvUS+aLUEPQT4ZCUlqUOu382akgKYcWFZOKaPkj
n8jLImj5CSu61mDuBxrRX/g6Zx9aTsa1C+zvAYAXSSutE0CEE/osPIivi8D7ZpSNvABZmngKOFA0
InHpYj6hYVwihKHLkXD0BcwyvEZFmSwJNCdNV0TfQA05iyxpuNqrRq6oCvBwqvhdKfN5yF7wyF23
vs4TYaJDzb3zZBTQqNL8022mO2UULqVwly+0rM1Q0vmeuabpIOilNvuVlXA4GjqNR5/7XFaFXWMU
MPUHMvAaulfjYyx0a+1UyYNXZztEcmKtQYihMwZe54ZGdAw966C8AQuIxfs11lwShUY5wED61AcO
FKnOK6pd3PbFPjK1aEeA8fSc+HOTGVqkhowpcWVj4+HyStp+eg3ilMRbYUdLdpTaEtWTeeO1SflG
Rqy1D4m2PUSDSPZZazc3QeG1574J8jNGpPE94PwheaXydmT+tq/9XFthou5O1lxvzQkzK3uuwUyt
9fYI4bVV8FWdceLaD/5cstVz8dbxiX9dvP9ZY/291oOZ2CyE/es11qzwyJB6/KTu+O3rfttjOb+Y
M9sFYKZnmnMR8/8xBhYSDtO1BX5T4aBL/UHdQSiWCeOAQs9ExmHZcDV+X2U5v5BLTIqji2gEVg+I
g98FL7/tjNDK/LWYQPyZ0DEre8HM+qygzTloy/uZAjv5DaM5JLZ7FcMty7230IsFO+VaniLg1cc4
oxLONQlYJGVZk3batmJi/zbajned+I3BG+BvE8fNF2itz8inooWd+wTySLHKauFhHySmGBZ1tBxS
u7/tEXotBtPCp1922X0TpRqzmbpmDm4z+2mWZuNeq4bFtu8g1vRAH7V9cNuR7efiXV3rKTHRVhI8
jFHgb7BzZKBNnCPjG/fNAydJUczdVOD4T30xXZMjjPhhaBlsZGp2WDKR1/xhMzQ9vM4EgibVJk13
J61VBfYMp5G36sKa+HNEaVVk7/gJfkPusRhKecT7v1aNeRdL51DUZbjE+rrsCvPTMeKRVINgnpOl
/rQ1o/o+5rO9gXKGmGXSyi16r4eRQYGrDcfO4cMUbWkdE8V/ObbSk52320rD/sYs4NpyOuZ/eiG3
8dh+lKaaTsFjw+p80VSZ2ERVd2UbUYZAtsVsR/5Y1a1JCFOVtKul4eefcLCnlXCTjcGuafTdRa6S
S0WbH5XSXJFVGEKapECgtFhpU7LTVHermU7PYKgZH7p4cojgkaBZzHFFXhc2DTYRo1eF9HlhdJ/L
mji9/j1w5pussbPNOCp/mRTSvnFQ2C+YrGH+DHD/K2Z5W78lpyVj17tn56UulizurLSyWeVZtDSJ
jNS9ngUTZ3HTlttWS8Kb0YWk6jwQR9tup8TNz0NNSlPb99ehbt9EjBRx1T6FGdFSSYk6skOQlAz1
kQCDvQZlnIzEpyEc6gNWSkUeAz+q5lTX7Wea3yOshrTpCWvneGW2VFIlGLpJJ+qXeo8CtBKWtgzG
CSmNWZ3IKDkC6EL74uUL3/fhu6t5icZQ+NHEYLcoI6mtRnf+t5N9pWuLOiv1BzNG4IwExQEhsDCb
DQtHJon+YGwrvNS5Y7zZ+LQOkyE+0YBez9nCti4ZwVRnq/W515IVdr67eoqMlx6jl04caLy2O8J3
hJtvyLLGvmgqWk5L1toNNjVyN8gO3sDtj7a55RP/RVbCoUUg3i4b5bjnrLLKKyto1CGxax9hRBXB
5MzDgwajd08n0u2zJMieEiucRd5dEx8jEx5rlIT1TjHxuDQecnQe1YZFka5ekO8WS/ivxTlyrX7v
eXn2mqrAw6EVT8tMT9Mlel33EJGtfigx1iHRGIZNaxjzFGUaoZbb8jK18XjxS9ldJXopHyQ6nk0F
tZ3RUCnqtzbovVVlRP0Jk5RzDVa4PCJyGW6Z/1snx5i6q1avjRcjybq1F+JnHpFsHYArpHuiBZyb
qS6i75Y9MuZupKq/lRLaGdZvPnVEzPF1Uorh6ARZe8gC32D+0Pf6mSx1/W6w+upkMJM4yrSIHghZ
EWzdsJ/wqHhHSxv0I5KXtkE8GlN+y5Ko5szMTsjciDBo0S0mGZDjv9GkWTpXww8YKN+G3G0yXucW
8FE1IJfj93/wY6Qpe0mL6Ku9H4bZqbTrot8nTd+coGIyxwggiZYGOCxl4nyG8QUYFAsramrsMwyr
H9y+0TaZpRC1eslcUjZGsXIwJ2xothr2QjFpSdBqR5650Dm7uZ4cWp08u8C1F3ElpnPpGvmCZLvs
WoV4K3iSHhzsYnjYwKk2aK+XvdEQBaucS10zlei6Qd5AZoVROaguuJTDAG5XAEKYlo03VYSt5/zF
CxPMIcZ7PKbbfIoCQvMQU4xbXYZRsiY7tXjB8FzFK4Q8BQloRv5gQVB5afBhNFk7bTTTv+s8bZvH
bb5UrMlLsFPLqvVQfOqZi+47P2oWsDUlDcS8nXVXju0xKuv7oPZ8AoKIN+hHB6gJufFTHsTr1GA/
Zmmolb0hUeAy2SxPdn8I6uLoxbz+cazYpGBRH3LooklXIylzZLGoBjf8iHpnwFo92BsND+KCPsc5
FeiaOWOMbEOAbXJXEqS7KrtQnrpp8GYcDo/S5PFUTZDbj0B0mLN1SXOMHU1cd44ePUSkuBzD2K1O
KaKXuwJa/DlKLWZnIu7bAz/r8YgpMb4edFxQOIt43v0har5BBO3tBRrX6LvMyFgd62Dc1PObouZ3
xp/fHvJtO8jFvFFZ4+PUDUbrlGJXvS2ruDraes79HDU9LiSuytytmzeMjyzw0a5hkZ3fYDG/y4BH
xwsJ4/mln990GE/hnkXdsKnmcyCeTwQ1MToobVI9+iqfn4PKv2frmb2yz+7303yuTPMJY89nDSlr
DXEmnD/TfBLF85kktFLfp3SFxzx0ObLGtpZPKDXAM6ZS7Mt2CA9Zy6q2b13/LclMdSgDrWRYlHpn
wts4GAV/+kAB4n64nh9tR3KdWYvF7pk/rd10VUj2GCP0dRwDiUTMoeZ9Z0BoJU2koEJJEc42G5Lf
8FiajpcMGCQCNitsXl25NEKrVjtpR7I/5YQqLXWnIvVo8kQzrUzBbJh9jgBqkk9NWD6ZwgPgbTpp
2S6T3ErbXRHWfXg0Ub+Ni6LBPUfgjd937JVyNfDaxYgv9FBDUeBHkQpXggQIxk0TyStYQB0ksrXt
EvlV5kmx9avWurG03rz2w9G5HTUkQ5mwYIYmtnHXAHxNwSAFUt9WbpSRklcbGBaCpCDTMi2Dd6t3
KySOAqvNovamSFt3MqMC6jGNZkuPY/N5yrLYIgckNzhbVJIIHjGjMo611Zp3KSp6djvVrRcoSFNJ
wpKwUSXcj3zXgFjEhdE+tP3RZXO+DgP92vNFeW3HaFrNViNLEQcvWHJEC0iHcHfAsF6UIhxXsiiB
RNtEMJNa8lqmYtioZPgwcousaXIxfKHMc6BXw6loeUdxUb/H3jvqAnGlCFvkvFEmaleuAauo7EXi
6VsvKhhoGXcJSwnIzj5ChiEAo+25y1Direoq2zu07uju8PDIZRxbV4FPWGLacefFhO5o3P9rfSo/
soawK35GrHtUaS3qaDhznT9MRhl/Otjo903H7GvIiumA4w+ZLXiWR8MnVjYxKvVJi8cz2IVFaSEt
afUEKHLshf/p875/OQP+vT4Pad1f93nX30OgdW/q7V80enzhb42e+Yvn0Ku5UOno6Ox5gP1b0oL4
BbE2YcQUUeT1fP3O7zJ+9xf09aDkwAO7WO4E6vM/Gj3dRMdII8gVD5n7nzV61k/qep+rYtaw62A5
bf6yn5OMO0I94KZ57q4WtR0SaJrib/IZLxC+KuLo25hmGZoq7IZ7hOfdvW0oH4L8QDLjBnSO9VAl
dIl567ocJm4KHkDGRJsvnaEdq60Ecv8gGs+6hsKpYwfX8GVZRONYS28U7BRs207EjjGnn2515Vfl
Udcg+rMcRu7khFEI0QCLTENwOoljzHyWCKe0CyC66uB3HnR/GxJ2nvhibehgaElAu9OnGpw8iUxK
Ff0CblNFSlPT1x8VrBMshlaDbYz/bHjUk0a01CbGdHSiBqr7YFOT4CbxtwSXyZ3X1WgIzNjcBY5P
bKgzWSgyFGg4m0l2rimijGSm3NshssTFL4S/HYx0YFWaiWWiZL+wWK7hLZYALDuBSTVyl2aP+v+x
L/yhY6E2lh7CmuLO4M5CsF3GSq4LlK760eQEYh2cD/0tkfNQFMK8sMNjFbespQO/R9wyDhmLXZGj
91s1RjAzXDQLgjUrpBYhuaGwIWU9jJ/byYBHdVOHzPJuDdhDbGD1Kqh35G/WAd2fb0z7Tm9x/gX9
ILAuJ4HRr7sOF+7G6qPsuc/MCoq6rBEtGRPtDjAEkygllEFEhFlT03ebwG36rdfq0Te9IBphKUsp
tnndGY9OMCA/CfUwZGfUfAo0CJ1GPAS4bfNY1KqklNK1nYaV4BnLOLhrPTgPY06EWzW0MDtGSStU
D2QaVDGRtykVqZ6RWJEFCcIkB+d+Y+fNN0v23q5gKhdvYzbwxiorSO4Fs+RfuIPBDSlWqmol49a/
zwxNHYeAhgSsDqK7ps3u25TaF3k59m7m79s0tIor3cuBTDQiXOuxf0UZNzuDjekSQL3Y9FXhXGFq
tBZRom3BeqDeAtyeFk1zr+wEKyvi8xvixYINSN2QmAyLdgMOlkIVUESeZIDLr2/J38iOzHV8QGTM
QJTM5LGuiP6dbffxhae1IzLPgtQBqpwbXok42aswHcoFadQkrBqMRaGp7sN+SG+Ej9KYOEJSbsMi
QKQCPAMJgRrGUV9M2oBDs56t+hL1VxzL20qRhgEOYk1QyfSIuTH+5pjasK59r7yXXdhw7XUJn/sc
C0SAxosnWkhW2tRdl636XnQdQt5SmZJRcAC1XEuSjQvJPH3GsuneDwXDbCrk1HstFTyXtS5dez9D
GpgPjB0RiqW1djWzWzt91W30qq7QXXgDsi4Ha6eBejkb2ZTaaMJ2mdCudMyHnDByvAbu2T0HeoOo
qQmzcyis6qqBUn+Fokgg6KhYvAx90C7/M/78d65F78v55RumOUNYLTzNtKB/fUP+a9fb//m/2OBW
b/It/zLEwST58QL9l//EH5Y4ZP6UVzAHdA/N/u93qaf/4nuGozsePQpX6Ryp9ftdSnKWDagVu5zO
t42T7o+7VP8FUDyDOoP/zvxX/rPcIutnT5jj40AwdWZnrk1N/zMxnHzRIUGFYa+D4aFTxbW4GJtw
E1nLGl5UALAUXelGb+6shxx0CSzQ5KGpYiw1TwEi3TiAdNXbSz2VryLoUSRRVjaLTtt4PuzHknSb
BpWB/65GexWhPGaC+tQNr+SjrjUFyEmf7mFkMkRVN1ZUbyztqvQ/Z1j8LmDrb57CbxES4dw5QqvE
CEN4MGpe91MiMktrRKQarht37yQMRUFMn3qZr9SgkauhttJNE0RiHdr3ZONoW91N6k1ikLpRdNlp
ZBkMosXNh3dd5A9Nq9/KeREXh6T9OBbbr8ZD851/tNmNi5WbcJW05WAjLjckuzCiayBawzPPBmL8
MJv2llVvZrqsZsurlLzmpSuJMObwI9vvpulq2uSwXnUEFsx28swgIbtMkoVmFd8duE3LvLJfdM5j
fkzrnjV7gbYjCYaN3aQbZSu2yigPQcJmaXMNgPLcuhbjHOsj9dzzWPC9Dkqx2zZMjkf1UGjTxpQ4
1KlVFkTsoGUlI23h9vytYRSfQ4mtoYKcvbB95JrYtpLx7wDfX6ObP3QOv74UYBt1rCXe7FT5yd2X
9nozxgX6kXGSDzVZOLAqcVb0QCxnhYnJNZd57lWb5tusvHHkuHUM+9BKv1spoOsL2fTEuQdiP8tV
Uk3fxB162iRlnRVYZ6svOIqde8t2avycpFxa8aHKDzpJ6HWZHwy1wXy+zlHrwGm8dbJo53vcD4Y4
tfwIYR5/2kiHnPRF42MOOmfJpmATopVmpYbjm2D5YS4qmqMv8MiNxRzBvisn/YxJYtNb9lnp4uja
4fWIklagmZRRe0nKACCqy13AWPvVhSZAQ3lVuYhPC2LhtSKsIEAyRhU8lanCqNjHRz+/Bmy+1VgH
ANJ7l4QcZZnOlm4eRWDPWKbddCQpa439/42I6U2RAzbgL2T/zT4VgNUVx8WTaYanJL+YNWk45L82
xnDJx1fia8cDc/eCNtzwXqrAwtBCdaQl1joqiYlMeEQGF7SyK3aVVX/TR77HHiZvyHQLqR6BwYIS
4FANFTTS6fWH0/VfeH/Mn9Y2X6cz8z8LQ5Opz6jrPw8Ap0L303qAiO4W6fdQ654CPr6gNl6rOsIp
WV8ZXk1qTXqauv4mbGriKsZTHANlThuyTyuPibZIVklT7utJ3KD85+xq7xpfMIhr03MS9Z+lk//N
021/WZJ+fLrx+Hp0Ihzg/BcM/WeQTFMyee8NfIiVVyPoM2maWQxNUP7Gjo1BjT0yyCJ/y8yXvCuX
ZTOHVIVkF7/tWEL7iTK18DSkFXU1kOfNxPlgoFkpzJgiPsEJ7LIVift7DtatlY3nOOnuQRU/TNaM
jzK/hc54L+1mEVh+u0LW3y5Y2/IPu3h3Rt/naOzNT5TLHc6eVjsyOIOtN5UtRddwF/X9efA7ULgB
aio3x0oYUAC54rUCjrSw0v7iGtkNTARSbZzykywy0rit8jK02ifQFuTfsfvpaqy93ORZTvG2BlK8
cYxPgmG3EU2GyPkOwmpfN/Zi8sWyjZzHQSIo8LGwePX7EGls6sCTymHN7i3UBzYW0TJOAYWiRxlA
ckLtYv7YXutafAb6kCDdMVf0TTsNMtoi6rqnpG4fKt3kHLefp7R6COPxBroKUWbEUE0aDpWEWJOQ
iIgqv3eiYaeH0yJvk49AL++ziPQS01q5Ju87gSVQdM5hru+ZwJwHm6TtzL+XBgn0HcjZThdrYUA7
Dp0N6V0bfvRHYMXrATKrO8ZP2UgUrod4Gpaso6714thC/2VXsWlFBoUuXhjNczLdB/SRaeyvou4g
ynSf5MFTzUe4Vci7l3QwmyqXWz8FHDyQ5M2s6ROZL9NA99zp9qqqk5dKslEUTUJIDsO05WTZ1SJx
vRbrkHdbMKVDp1tBuWNoLsr+HDsJXaQNUNv8jH25DzTxZBPpHmjFNz9EjN1NOXV9cMx5DReiL85t
le7MydkkBZX04N6lYXKwTTWsJlyu1eSopcaEMNDalSi6TQOQLwibnJvpOTGHnTWOO9nhpU7zGPN4
Kx8QWD2HjXMca+sxA0m7cNxnZ6ouo+zaNU/1vgq8z8m0DgFJnmsEi/QFRghs0fUYESq1ogfM1o49
HVOALpULWBb4zNar9TcbV8TaHOq7wlJvKfHKoJPaZzhv7ONyt1giyjrXdvvQT/5Vj7qFlg29dLon
WPDR9QwgpcZIh5tcjMZ97szuoKP6lOMk8Bbg5cgIcxnG1ajrZ8lkO3WCR8lYy6+hWdvizu1A86Uv
UzUhiemWIohOTR/fWnJaK552Oyk/pxjSKJ/YOIr7UVlPZoXYvJ32TBLvAlCsqf8pJv11ZCZKw7Mx
OvGR4Hwm+KHHjOzcEfckPa4MsbY1jHun0jhh0cq7Oxqec61JOr8S0SmcKkKzE/9BgvzGB7AsJmDZ
rrXAFoH/53sas4QY/HXaPHviMjjRIh4ZnmefzEtWhvnShfdeKLeuXyPzuYXTzyp0uCs6k8dFI37s
bjQJtIimox6wpEb9w0JoF9MR1d7GseUacTnmCxBF7o0xfGCzBuVuPbedv3AV73VqPuMBk+Ow9DJi
24l946x8qgJgu+g8VmH8PjTNRnafQONowcX7SB7fRvQglEt3R2DfLo0NBNkJsxQRoa4vBBtiLI+O
GMgZQtskCkSIdGsg/UWz8kP5GOOTWY+msr9pNXYBX/Nh6nj+ZmA46dT5JQorbzUlxkWk2kuh1BOQ
58s0JvjhwA/2rMGWFhKzfdimoO8yH4uem3erfsg/im7a+pNHQFKzcGVcL3WfciqMxnvNrtgg6Win
dHshk+Gthf4C7mfvDgGrEED+k+u9y76/EkP0HRXfReRslisymRJiv/EIUpqwNiHOYCa2m1pAJlZ7
ySxogobEpmYfGZ5+ApxdJsY2bN0r28aqWNTXtNWcvvZ1VDkMkdqtb1Umbg0r3NQ2NE57cHBzsq9Y
tU6tLRtbtGsUnmrxX9EUmJnXUaaVjjinJvozKrBLrMvnegrpuIsIbyhBWIRrX/HZwAMCR42nMFCL
wvNaYABdhzHT5x9Bqv8/1bT+ibHyvwaqgojF/pv28i96SIPgn1+/+LfGcSammPwqdTRVxg9D2K/G
8UfMChXVD42jhfTFp9g2ib4VfC+/D2HBrOCrJmoEl9PcCNv/RG0jZrDOj9XPr30jwR6zZtPHOf7n
qq2sNbLHc8PGpxZ/dp578mpnW7rikgQMxtDtrjOFYKZHiIkQ95bF4Aurrm0nXqMB7IWhhYcgmh7T
zt0Sdkqlrq2T45TUV+2AW9nDXhr019GgP1ZYA9M23JSTs02meqeXyyIC/pCVSJuXbudv3IGvrfJj
ltQ7u8r2qWvdurVzQsC0HSr71g6ME9p70w3fkcduVCnWflbd+1p5P+HBmy9kOyqWKeD3rH2fsnsV
EmIgwV2P7sazh2uv9PfsNI9GaZ9ye3wsLXtZtvmZQc6anMRtJl3sL+2K/ctlUpm/8gP70riIk4fk
RgY2aK1oVmoSXEuyEx1BmN22obez8EHRXvevbS0uul8/JzYfGZqQrRW4ewSwa6hnH+DO2DTJo82s
678vvX92/9tfP8QZ9AYG0eCpmUvzH3bviiqyibBUr0mmWIVMLiUWmnCobhylbrya0y2K0mU6eWuN
9gjf0q8jqb/UbH3V9n96itB/6Z6rIyZDVWY5M7Pnh2+ALTkDaDMO1hoHYwnLwu/qzahTXfTKgdgX
mTd2kLrbLpjO+Gof+zy2jo7haHvpoiDyFt8V+NvN5Nbusk+teOMZgVwHxXQcs3oHjJsFFjXOXmd6
ICcaKWiwcsVNyLYtRYHKJpkKzhIwZpGOUgQ5eJisQzWi+yEQgNVYY34o+KyLYZxuaba2U4M6gnfv
ieP1EHjjtZ8QBwW6+aqoyvDXILt/pFj896gaf/mn/jcekxwZPmJAGr2/HsMBUXxr27gBPBX9OGoz
/vjiX89JH1bGTIian2V2qJgqfh+w+fovQDcEgsU58ZC1Fb/z+zlp/2LoHK4zDIo2zp0BTr+dk4bH
7A1RCkHe8LVhc1j/5Jwk8P6ng9KFXksiPdHlpuD0/RlxpAcJwWFJP3KSFJG5gbhRE1xDu7hUguCe
hVUCuV3XqcEOpA8DhH2eN5sx7dEctRlFaC8HtJXHnC0NpjwyOZh+kA7jeF52n8aDdnFm7kw4Fv3Z
lXl0qKVHLm3teHILgFusPYsDucmb6Ftv+RMqKU4oUsTgbgLRJOiAOx7CXZDl/oE0Thvgt+n6SyKG
1K07FpJcnek+7CxFO7XLpKSkM3toml1c14eIJns5cj2YG8VEPUVpRq9JkadgdefmUJ0I6mj4jrNJ
vw+cOHumOwjvCxMIpKubyXvlq/BaZRV0c6X103tYCAebk+1RYHb120BpvxRGyoTPBPlcW3iOisQg
+4dMpfw8Ng10qClN1rnGp5Ob4yEErLA2ZGSiRKxZ++hZuLS7GKVF4RrvM9efiJCC8OpF68fpEVJD
+j645CoAD8rEt7DQwgeTfcYsvQccCDNfM41VaPY5hZMOF9pK7YVuEe2bJKF5lfADwNROkgB7qP5A
zNSjitGzrTxzJJJkanJmmUmuF8tprHLgsVNqrSwWqdedOyRvcW7L77oZ6IL2WTEIrfK+gSMhFCZy
wfkERAwCEJYbk8+hb8Nx6eYhcSyMDTNutCFEdz4ITJl5+RI1QdMuZUe65NyRFhXiGBO/rFZEz+xm
IBIwbY52VsO/YygrZ1xbDzTmhP2xbYQSidGsCGoBIkCA/kPt1X0r63yINpZZjPhGNbH1Og8Nkhm6
CutIR5SIZ/mEzEDbbB5a2zLPoB7tY+B2zSXKo+It1K2IKSyJUsSThzyKS6Dk5UeFkfGlEREZeBju
vnqHunw1qI/LxUSwZ7pNkry+N9g3n23boAqeykEcE3ZUZxlVIGX9PAImIka/vmU/OD429ty0oPfQ
vndl4jgr1G/1s+2l8t2lY9z6I7cdvicxXJo8t7CJMGccwUegaN+hiWWS3GtRfkDkjncnM4etxjKY
mn4YHoU7lHdOWzDkRYbBe5tWkAsiDT4n6eKSbAChr/B/jtUy0M30PeTlmr804B6z6yyrdkzpknpt
966/7x0EOZkGNGqBN23Un8JK6c/zOk6tddBjs2iKH6APnxPcl/IJX7UqPVw0ej0YC2RFIZSbiOCU
wP0eZOb0MoTj2sBFzHzH+ih6AcFMT5P63fFGcolYIowvY5/kq6qLwGBpzXAZh648Rr5F6K5jm1e5
zJhMOmHLb3uklpPI3TxNjWdHoLpBbJv+MKPxW2zq+oRfA3kyESskVjC/tGhvRj/YKRXh0VLTumAq
RqWA7RwUKyr+quZmN73gUZiAvPKWSeDKJT1nqRncrYRQ1WW1ZMlYraIpZxBpT8QaLuUwymJtBqkt
6c6r+HvSldHD/+PuTJYjV7Ik+0VIAQyDAVuHz3SSTg/OGwhjwjwZDOPX90FkVferV9UpUtK9aOld
hkS+iKAPBrt6VY8uMknuzNyibB33D/APwxHju8EXBdUEG3ZPOqPtP0o7S5hfDW1Ymzxd+Govpdte
EXzLeQ9dos64CzAWW0RgNlq6HCwsjfuHts1nEJhVXZ902XXvnQloG5Pdz7wcMtC8inN6KAosoEGe
UFvQG9QvAPN7MbXI7hdfoKMEyTS8OVGsLnaUJB8WnsR1fYEg0AuDNoJgwlnDbFyacObaRf6gtKM4
xlzzzDZ1KBirhvrMowT3Ugwc/qdjxHIk8UiekxdvHO/Tvo9xernx7LI+R/YOja73k9AZM6p++Dk9
eewDdEcYFTGFu7kZdL9mp4NtNk5yA4udp4wzlEdVqvYceWmFw4Eipw3VPUu6Lcci1wdBc19C8p69
uZN6mtzxUuGlBF0UI2MVHvW2eU/PGD+96XRbPprt72mcfYxy5F4sqihJXi4Th1NQVN8qg69bt6Qp
yICxbT9S2TEcN5j4n3SjxCv7bVD7xFLFxSSQ+gJ6v32Xdeaf/ayI2VJLTYuS38T2Y6P96tFjb/bS
ztjxVsmBj48knG9zr7cIrXTpcD9LDU3FmZz4FdOFCeuHFM1vszUt/45/YYLiN5C0JU00+x+aAiTw
bIXo7vneuuUxYk/GwTC63jNnk7oMZZA9jFEt9oAM5XaKBAHcyVAkogojNZKwWAprb7R1igM+km9z
ZrIgqqfyMc8CM8SDAIFkrNMr9+8qTBbL4iqLNGVRC/Tax2b+0gR2s7UgqjSmtJ814clrXuDi6vPM
PrZuaT7TsWD8ElkNbEPEot9SVmGfMjMjLEinRfRcmrG8yjp9rmvTuEY1PeDsFtCNSE3nVyMTVhg7
DSGxEeghIeWAeO0uNatq3mhetiScZQYwISpwCvNJKOzmC65MhPu4R+4cZI55dalHWDGBPEHvpeui
GJcfRULIyFjaTFG5RFds7RXdpWyAbhAhTj+hjHyUTbwcpj6YDlGK3VAil3xF/exs8ZLkNxYydOi1
sCvId1f7FsiKB1dEGLtqbP3t3CcghAQdVOpeumX5WSQD0jq73gkwYJFjO4UNvvZTNRwune07J+CM
+rldoAVWhkrgNZpqp7sZY4eMyV/kNRkNs3Psg8MBFBKFG55dHi1PoIPsOOxGmF8wLXxvV5tj97XQ
NnLvd3aU7TgRktNQI/HF5iC+mU7fXFHrMnDRMa5WMx5oTnKTuQ0LZ42IdrY4ZP7kP4Bkj/VdBZeQ
zgozKe69TBZfFA1F8Hfy/KYltnnVFrbkqcxVgvG2ATBltauBzpqVgZ4c91VxRbFD9XZxq/P8LnHw
qU6zBtGURbwh1+IfzOfmmjcAsjcOBlSqKjvL/mLnZ0LRyuLk1XM6lqwjQ5fxMLkKrlqcLdvOpT/n
YGPsACOW9vN4CiLZ1Uc9Z97bYPCNJKM83GTctgedl9bjKBJBh5fbaTZxBseDV8n44JWF/qA8on5S
BCUCuJh9eu5bs73zkpzv6kI+/iJnm4wjBhk6GzEiP3GBZavUBkPynlgam3wxDnragEazn81sat8I
jzZXxO58RyphefB7D6YIjy1n2rqI4dwJVbqU0K3lz9pxsHToRMwPxhBV56CpzAMrIaIQiq3FTnbS
+7Esvra2PprYlyZKOoe4toydMzfD90wAtd7jIe3xvSTBMcPD/MTW1+r/+VPikqxCcggDbQ3y2c4g
fYzL6L7x5SSJ2qZVc/XHciX2ly9uXtxgegDYLuLuEpQJLEw7gvBIbghHd+mC4YYIr7cVeUXJktML
3hqLXOEmogWYqdUR8G0Y2e3XzIvaS2DV9S2oa+9GJLa5Z3gpLl08s8XzIzdj19z5P0ArJYclN1wV
opy7D2RlBlBFhZ4+/XQ253M92cN8xOU75OekEqygvTiej0BB3B9RERPRrFhcbypCecUmbihA2wjl
Bw9VGy9HiyfXLwOZ/FccR6rfDVmOL7df0C22XrlKuu5gp+Ig6iB9QYMVe9pCs/fFMJabGZQEewd8
2TzbkuHVAhJ+w6daPNBislyX1Na/7D8PXxWxYeeFpyxvjKPbnMzd96n2u3tJD86zokjLauPY22BC
9r4SSouo6XL8hCxVFMggFB6r2IFVwiMFauPWHGPy0Ek6Q93vihXZYFZOngMyy1ZWddtxaLQ1FZRF
L9x3M7ZaIl6t7kCRpexCWtNsfjhGC/eoVgRIe1U/peXYvpGXJxPa4nguoCe+DpaJB3jCWXcKhr7T
e2uEgx+WtFxAy3AW45RXrXkUErRvrmzqVtx5ZU0wJOMCULq/pIldNofc87W/yS1QhIwElHmoURyb
yWzzDWWRuAXdhHvoPAz8TD2y8dZuyOKzNHIXCxsxoV9WHt25LDP2NAMhrWIrIqu+Uqm2HHsyEtxu
IB4dXLPLjr7LSm9DxFfcyNc6x9Hyqu9+vZSf65St+Rvsstj2jm18M3vVXwEHqbd8Ii+UW3bJVZUH
fujaEZtL0hH8zmByxTBEfdeZc3PBvlCwZLCTOgrros6+yrpQyVHoNH6Ei8aPkOcNDYU55TRPfVD+
Vhr5kq8L6CFVZFdDUUa8IdBdh2px3TvEdWugW9MwCftSJDWJbNk5/iIcKKq9l5O9HriQwPGBi5i6
vtiilTszwrXXHDtNFcHgVqnBaJrgyipEWrpHpTveGq7xZhnMd6QbUB95In2l+Em9sEqjLtpMiLbd
hsU5mTRSMBHCt6un/TLqbHVoesnahCUHZrbc202Gk9x1wqaSEQTIz9K3PLK1U6nXa2TZ7GSfKD8k
opCegpx72RTn9X2sAA4RpI4CmAjSfCnddabA4Vqw6uQpznLBUo9Ojw+79HR0FOZQHYdcdqeqn5OW
btZyeoUGKMwDDRX1yaDMGEXRT+EMe0txX1GyK042PMH4TfaT5gIoR0yW/7eE+v/PGbH/pkfhbfnf
i1kvGnDZV578PWD7v/7bf9OyLMxdwicUJfBYr5LVv2tZUv4Dnxip77/3hNvWPxwEfyKvGMbswFvN
0P+u+Pv/4DdoCfqnVduX7n9HyWL7+Tcly7JJb1mr6WEVyFDc/qNYm0Rzo/BTi0OcuWVxkNDDYRa6
NdmnSLpf3RyJJ2vmMt02uRnSo4L2Yeazx8XZ4VAcXTleAJ+mIcYgqk8zKhuT5oXt87YaKOeWMne3
iYeAL7kCf0/SXp/MLLXR1nVspGGwVHyxBt8FQTSXfh76MjVvzNhwEXS7PArkdCqW6TXK6P+sN6wG
Evbi/UTOdjzSQKJ+xYgsoeY2Cx27TAn1Bpb/YOo+vcRIurtZZFxnZd/uS2EnpMvKdNexVL3LqOIL
g2RRYQuW7wCzJviZwQugQI7hfW91kXOo5978JplyHvPGaw9r3Hlb2hMbSUePy5k4vtgyi3V7scgK
DCqdqumG4o2vwrf4h45xkR1Kv+UWHg9zPoaJM9Bf5fb+01hk9Gi2DS1zvtN8N8uifXBy8+Is3qcO
zPulTjPO0eLI7uEyDFSlufNTYtAD7jr9FVT3PTcNtZ0cScmqQsL2YtqrIdnpfW14RYEoUDb4v6dR
b5Mc351GMSWiUwyRuYVK/STq7I6OZB+cT+lsIyYI9JcVe5SUM3sNHSiQiFUv6i/udDM4GRV9Btnk
UsDmN9elszjEF2F4zwXNj2eVzR1oAMO8n5KkgPyg8bPMvs5JxqxSn1dO8jh08AOKuB9eBrYGtELF
bk5F5wLpxDasC0ZL41SL1vjR2TpCgHMFDnJPsGutRvk2Fp64qwSQTrJ2RHige86UqpXpz9Qb1c7k
U3lEfCIDW7tJdTBrt/ocXOE9SlgneA/M7Ltq6g/tz/IjCBZ54Gqc30rubldGCe+Veo4CU1liXgj6
yQshs5hUp5dsaX654I+PL4M5VXvV2sYxMMf8EMWOeOIBzQgwkaKGH5XziXZzeHJW1D8gZuX3xeSg
lBY55FH4tNZlJutJT6WVyVctuXEDuiBgU7fp/I2axulUjp115RLXO7S6NsOX7fojFiTPIffUZWTH
F/05ltF4iZjdjxQi2M+d6RsJO496JDqVqc+Cq6UK82zp2nCYDLd9CMwcuHw0lobagsntNjLPDSqp
R7qRo9EHa6nziTijwV9Tud54HTyvfHVq6v02ncFb0eaTTHZdzKqTFnO7preP5ILdDcSBM8GiB/jT
I8cFKa88FelDljC4+PSkXke96MvgBeaVJz3SnAAT9I2GEuvs5LpjpGmt+odJE8mjqWdgwsLKBACn
FprlJE2C9JY07soop7B+tMba4i+tskex2NV9NCz5tVMj7pxoqnYa9+XW8p3pKOVI5Z02xubJb8bo
0ZcEcpMSPWVogNxuOsjde8D63AgDr0gvIovApdWzd7GSbrozoc8eqLDQl8psxvsElfXTbZiMua9x
EwnF/NKQ86SKlMv/s6VK+l/EUh8iFvEhtn31za0QolIHdTktrPRA6p/v1jyW+UMUF+MT7cDTE5sw
nFt+rXTYBFIy2Xs7S+qj0ZrqKOshwQAXmccgp5ZHS6O9YuQrsf1IWJSGN4LKNetfo80gvoFxTy5k
8Y1vcu7F49Bhg7Gi1nBDqxnJxY7cvqH7ZHeEb/hIV7b9m7objBPW2Ly6tWltDfq0XtOE8qncxmqz
oV5z2dnWDFgTzzIVDnmCXTgZgQnGHbgnxYBsEGn95sgy2ieJr+lP98f5VOeVfYnLdDnMpece/ED7
7JLVso2tDIiu6oN3Jni5bzvR39oAshS/jNYcpHxPRwu3ZaySPXG79kF4sP2hJ6wcVzIkjiXKT2gG
wWfgl+W194b0wC6FWWxhcZBnnt6Vg7IRGgwpTtzU2p0FksYJ3SJPzjl3zjMSTLsde1+dnMUqrw09
AxC20x9QF30U+O7cJPj9JU81+NKfjb20E3lKeYtbOvfKaT7RExY/t1kx/Ko6E4avsqeDxuWIeaYX
rbXz5oVJ0SwSLEnKIUduzLYXh1rZzaWRBt41B/uH6in7LnyyJejKcIQz7HIlXBTHfldA/1wk+Xur
Ho5l7LNjTnGi0o575KjeWTPDfJnROkKAFQVEsSunC7BqdhhbQdBZpmsX59zWnYkMhjExyfoKsmHS
QynXWXEiO7H+LFZc7dRE5DZR6pN1GidzX0uSiKM9IdWb9EuobpmZE8SyE+3o7qugHG62ARpjR9Av
OE5WQ4gYYAe3+SnYjNlN4svbFGXfXRFimu8NUFq2rjRpswwqz1PDy0PQ2UXUAjS/TA2elo7i8BmV
EG2xmu+sURy0vSxHb5gWlrmieGc6/cmtnT82+kom2R3HEguBXxlHgG5IJHHYujVFp5aDPdMx7Bs4
5P7sZLX5DTIgKFBlQBBMJP1rG/COFDy5CXY7NgsWtqRUgCcwjd9TpDyctix5+H60F4nr52gv6245
7uuf+DuHoy8aedaiWdhruhghkuoa5bCtQXYsu3goo2+8ASWvqfBxg+agC3xBA7rTtcmDFRO25f9o
o7tP1qExl/oKE9K8gKsr38fBpHkUlKAZmsYAiHcUEECEp5HsAiIEv0vDtunLNQLki9zBoG5jsE9j
f0x3cDQ850DhV3KqHMq8wL3T65VMDrxO0iwmInLlYUAOqvrG/SKt7ovYMJKtURZJQpGUHSYnsyND
tRVtm42PwTSpM/GoguYVO/1VcuKANXS8McQGifRse+mLzRy6w8vmh35uWc+dHEBrYM3U/FraxzJK
0r2dCRxbdUrejGLDsPXxvpplKna9ZOWCGve41tVXRE35C7uTqnFh99OQb3xzYijmasEAn8eh6sbp
55hO0++xET+Z/9SnLIYvrxlMFDMnrh8DAwsusFzg4zJNw6q2x4u0FYCMBsD74ghFMTQyoewgsY4F
j6fO7O2z3frPYhnJyQtqfAW8lW0EVXObdFRVFk0XQ2Fyq33S9eldVlXjo7Yi4xBR7kkuq9SH0bW8
0BHkzD3E4Z+scmj8URhhqmSxeRv68jl1a1q6bD++mmUygXke9N6APg2itvC+xXLdJVQ8OsNMLNnW
dXQB7QUf/3k25LDvJCKDAmfy3WLJvMPUEl1xpPU7c6xlqDiiyFpn7kNfpzm2zYgK+JZKvqiwCTuP
fgU2H2He3S0FOWU3R+4LRTrKXRKZyT7TMoq5XY34LYLauSPUMewsNTnHcvKsb5EOkp1qTPe+N0R0
dGcnhyo9WtRgxzW8kc6mOHUYT2kR1Vc5Fggfvccmc+Wbp+9uqvSxHfPmZtKAsMVgCAo0reQG2Jjz
yoOOidtTPtNB6omdQ8/3mcpm/ygjEMU97Wq//Sr3773OLV6GHNMsW0Zz15qSGogcHFjQzs6eAJ15
qoaGBuA8CnjUzFWFQMQSFvV7unSmfkIN2XNPBYwiKUnzC/VmRDXefyd5GGbjA+ABrtG4ht9S4RHB
IQkAr2ZoaTzZhY0wp3ND5c5ORZBkNpNDf2G/blsY4o2aMtgeRa3UxXgzczYKprO4MLd0xE/AOkYh
MZz/Mln+l376v8Vjnb/PaX8z1Ri+v2SjiX2aPR87spXxjClSsiT2071ws3qbgYp7aQMxPfuWFbzP
/tA8imSJ7/xZtB8RFRvsKrngg9IW8SHp5+Z5soNlb7o0l+cyZ0+kAuNaDQrndOun4GId3gGKdxyu
ElRvpu+OFxgGl5oKZK7Q1YGlgLNDv6ZMPTV+xF4db22D5m4jo422VN5r33bWydCNu4vgSbyLvieT
btE7BVSv3hJc4kubu+6DU+RE61xbuVtcwBhpEyk/uanHB1eAmkWw/6oH99prcr/cUDZQ2PItDJJ5
6y7J/DT0Fa3t+XKhWpTS0BwCHvtbetiZShO6j4pJLRzbsXJ/Ct0iQRk05fFwL7kU7gbDqt8WURYA
Q1OfvmCVeMMlknI+JWzubVYBwnuq62547GjcW2tdrQjCRC7I+JjpzyZayAI4htzRfShu9ZLjQ6IQ
aoOxmsxtPQ/eHUwT4+iKPNp22VK3wIZBGAFYNadfQze9d8nSssR0072jSvz2U1vsIa+y8WdpsLHV
khJbdml5bom9Yp92WVP19dDtCAynj0te8YRG+z1HzK/XlLJHutGBE974ogenKZjGk6gdgBUsKmh2
mrvfTaK5CpbjOIHIw0Qa9twXxtBvAXSHPuXMgL25Zw9/rtzFn+u3WG/iPIW5lGfN2NF02Iq9ySxf
bMwRZrW93uQhQnA2+ev93vpz0zdpj+R84P4/Gr6+BOtMkK/TQbHOCX0xCGejYsN/xHBu7Zs66Khh
Z8BQf2YNj5sZh9E6gth/ppF+HUzQ0sZr+WdaoSpzQlrEy1p6owihJgcr/701dnGC0S34M/L4f8Yf
AidVcyRZMkFc8KzzpFzys04DwVLlfHCJZ2eYsy35xYZBbAIfKVBUg746+MYOsw/yi0OMeQtj+LdG
Od62MJqbIdL02Bi8YDbtcDfir05Yp9yUwYrj9Km5Cp/lBLF1SBjSHBVpj4L0nmoDn2sYTAwdAFQ3
LSzkrhv2sNCugT/K15b3YKb7hZExX4dH6uyYI3EA5PdJrlEKGDKdigrw8c/kSWRjXUStA2lDSvXQ
rkNqv46r5HGJajPBNusoCy2Nt30db/lHroMuI69ah1/6uYfVacT2bh2NXSP2Pyqn/ZhY0nz31gG6
X0fpZR2qq3W8hk7JpL2sQ3eyjt/BOojPf2byYh3Py3VQJy0u7uiIlm/TOsbrPxM96YcIjDRj/rIO
/BmHdBlpfheyVbnp/ygDRAKGl36VCwiQSQTmPtj+6xP1T4nkX12KFgHJwLE8JFSL7iWfNOZfXYpd
gOlnaFvjMGvfOVeot1pEPlRkPNNi7UTH+eVeTWc1HAAgEHQR9+5hENL66ECZVKGqZfxzHvrxXBbO
fGf4VnclKRq8czGoX22/ufRp1e2ImCwNl6fxpkqdkvAympz3NCMKN8s5PwId7RgFdMYa2osNee58
8vU7PfOvsgMxcLOKlupLQTBpeeZ4dBYs60GW/znTsj/n2/LnrHP+nHvJegQG62H4r1+w/xT8++cT
iMu0WGUu6f7NVxooVlMOFLUD/qBvy7v93n4Z7+1tfOiewL5Vj0bx8K//Rmd9C/7DW2Tblkmro+U4
AUel/NvfOCKwII6n0QGLTfS9AC+jSWhk80M+pYsIuUk3d2puiWBbcZ58t9xF7xqspb8Xy52gos9p
tK+yEfedkNyod0tk8wwX1NCbhwWs5RswN+/ZkwGPOq+qQXfnjvRpQ8pnRS1B3RKvUnRWVMt04ibD
+YScsvEkBKdp8Q/wDAC6yzLb0zHb7uduBAVRu8snJjB6k8aoOA2t64NdLYyXMh3VBStU/sSWK74T
RU9jPZp98y0JvIVseJrlOCmmcZtNqXp1Yns9v0pRvP15Uf9b7tP/k9q3/wetp5jz8bgxDAE34X8I
eg//8kH7Tw2ol6+fqPZ/tZ/+l3/Av4n3GOxR222PYcexbXflU/6TmiLFP1w+nuvJQeM8ndr/04dq
y3+YUuKPhMcvwZkg0f+7em8LmJqSZC63X44PF+/032iY/4qO6a+VcX/5hmBSdMjg8sVYb4t/sVg7
ha5xTOnkWIyyXM/4AEGdHXMQgqlrV9pHtdxJo/IPva06HDyuPAPzIDU4eBrjS7NO65U/u+VWTgWT
r4Fg2QX+/IrnIkAFxCjS0HJTEj1M0bVukCe7J5mbzhTKrORxYEsUaqKjcWyosBks2j5tM6JPMmtF
/H3wB6PBWFE796hR9hkr4fg1RHP1vUlyF54TKapDXVaK4kg3Xdurhw507zh73idECgYNuw6m+TCb
msItURRDe4JSRDAdnIJDvUtjITpnvpc+TY1045AQQfvsAl361vtywozWDxHLW+V9iDkvr9NkzUY4
DSLHNpDBgNqTL0rgCiMIfLTZnNsbkIqEg4Jcy9tUpdC1XY7oH5lrTOcgK52z1cfxzTXcCtZ3Kr5x
5e7f4Gy5V9Ay5U2WGNoN7QRHMgzLYVWKd7D5ZXQZsDAjc7jcS2L6VbB3Gv5+gOdCtkj0yY9gpJb+
aBQdFPFCeANPiHxc7hrDs3+PoOWAQcbLr3QsgbhQ2tp+LCJ3HoN+Jo2RdFmkwtLJ4hfpFCBv+r7U
1wQ68gNoq4nQ0UTCYtPH83DIC/RlUgrD+CItz3glNcRt0BtZTiJIJjNyA91Pu5SbxNX3EvE9s8YW
p4UPsFNoUlmTGePTrDwGIPzKpdyVTRSwRcn1JatQzjbEjKujRGHqTg6AdcXSu9KfJao4hT9O3/2K
y2h6doeaDGPnaFCi6IZ+KGnfuK8bBWA7rqui2OrAEYe8zbrgke1+0fIszNg6ucEAkHM2ijqlwFtO
6QYGS+3ssgEv2r50Fvmrylh6b9k/uFEIe6NZdl4r4I4bQZnVG+1iR+UCmrybK+8a09KET86diHPz
rZlJfY1FOVLsJYmZ8sJCGUi51fD6DUgEIdXtFbIuW/6bC+JP8ep78XuJj+h3mjVyPqtC0NQWefoI
Fr23ftBwa6LBcdkk6ltGCx+pCcMpzRws0K9wbKwLubcqwqFV+Cc8qd0PetgmqGZNX23NtOTXneiM
i2WkoOmHnpyNUy9LdtXJ4IEsmiK2MeNcvrQ6dn7SeJ9+sHyO0L3Y3TWM2FhFLfYg+8w0cgfXaDWe
mgRwGMKgJ/GEGZ7nbBFbC7hvda6tEAWi388Bu35igbP/KxiUR2NrF+CMlIXLpm7S8ona9O40eEPH
7r7syccVQfc9UG73lmWJ+UD1x7J3sUzUW7QPWO+NCoYnOrK6t1G5JKPdkQ3CwiNzKNhLEmvOqNdI
h2jYlSLQ8MfrBINqUxW8FuBc082SDc0bDL/8rrJyNwG24NG1mKHCA3yKsaXCTFhofazQNAs0EqwU
LlzTIZPezuvq4UewIGExRtIkE+p50fcFXrwbjrkEWmpUNxFVS/N0WAu/DlZTmCfZ5NhnBW/jhwry
5SehwNhj5jEJAYO6v+9pT7wP0BvREGtH3saySb8Ng8GSvxg862SO3nJ0ukjdUn9kcGSERIMcK2Mb
1331vhJ3dsOCC7uLouhZ9xw5eH3jZU87IAlyN2hItGoTcx383+yTi3r9mBXK3XVtvFbcT9Opj9Ty
s5/t2g/nBNP1Ic+JQkKDmHnvqRtOaKMc4+YD6Hn+IQmhj+fApgMxdCepSAOa+oV3Zxo25hxbjxiN
IeUXup3PhjuN3WbEIRccah9lIUoNUgAmd9iGz2pWf2dSZ6Ho9HwIW7MPxIZ4UfZp1U7z7rYjSfC2
VauVvXe0u3dQh5KwzjPsYloyyx5EYzavXWZl+U34GFJ5S2wOndhEn7cNpq+7JJsR2GHwWAslNXpl
KzfzMB1FMRLeVObcYRttG3VPpRxlvmMVzPmWks3gQbWy+D4lcfI7MVS9bTozfY6FIhodFDaPG1nk
4KAhpGDxjGu5oxyHqGZcyfToVCbTkVHTh+QM7YRANEfFuR8HfKfuUJRdWNS6fjAzQQuDFSMTDn40
XcemtZetAfX/MJSJebIAk4It7QsnpCbPnaiys7OLrSxUFFFrm7CbnRwGqm24RcZUzXSsDlU3LJc5
axqIhWVFMUPrmEDEvDL7Ltu8whdp341TOlIFVfT8V4zz7VNTy+7NLtgQMqSYdhjPmgxwl8MY3NSI
RdsYDOuZr41bv5VspjBi6+4oPa6kKBneZraKDxYRmPi9NeyWtwGg/ioozok9MpyyuGlzcFSRa2Ix
XirOIYgryrrZ/vQkLKCLvokhpuBpwIMah2ZBoPaOSoxVWaEpCw6WvlVRP/x2ePgc7FgjvQZQsNVI
Oyh+5uMy2pDedNe92JNrH/3clXx1i6LAKWPRv5dCScBoNATX3sIRQLtOD/QUhf5sEUFn35L2LBms
hVAERHCI3Wk2XRa7ZXUX1+Y2GCI2sC4H+VpKiWPXmuJ6Dh0Ejp4QjhXlYYL6c+iyOciojGrz05KC
QKOyvDhPfNQuvq+zuyVInTuIC36Li7bv3uleCPBXVv4PD3dEtWIK2kenLPwbapk8ZlpXVug0Ebbe
yRA/Az4w24gCw6c2CwDGFEvq7MocxKvp6ubFrAigjT1vf02dzXuZ5CBdRpEvLO282NxYMpMPFeb6
H1ZKWGWnsB2HntLNGjCkJFy3WGNx0/6YYqu5ehDy7iu28SDc8ix+6NxO7uxaJojWf6giRWNr7lxC
ftLpCi4WbM704jkp4E53LONfUdImxBsNyN99I8uwKPkWwhbXFg9Q0kAfgzPLnRwgoRqOPZgcAFH8
IWm6IhyRDtOn4SXGZ97TCYHFIyNXiZ37kPiNpGDTs8+IUflv/r3qKuNu/h4sfUqRSTN3XM9ShQo+
KF8/B2xL4R90o5ttsaf7sCBILz75sfL3ZFXG14WRfi+hKnwFwuOq0XTAyza6i1iqRkpXKhStHR94
q8aLFZP23kI9VU8pG8KW68tKEdJLwUlFCEYXcMQTlbLLNvr60GusDqdGaTMGJUqYal9YifUA8QcY
ixzpVBAdssc+HcoBurzycbOnWCrvoAzBcq+dqdMEygNAJz4V7nbIbpBas2ge1ceoU5VtFdoLFIOl
iO5RwWmldRnrT3xCggXzcqq/4kTyUEPxs275IHn94dw64wavbX8UBEBeHSdpb7BKunyjmIdu2ewE
28Ea8J8KU96lnes/WqyAfqVW6xcbPgWV2PHcBT4hBdVXsOeV+42laIpjfOZKsBlVl1S7OF1ocrAM
RpgrNMYBWNzgOkdZiLqGZ+7AfiootICgw6NiuBdpRx0h70Ich1NQy4Nnaf9WFKJpt0sw+hAUgsL5
nZVGAKQf/N9L4BozLnTD/On7Rd9TuLfwJM9Zn620HZYtm7Zvp4Z4VUYAqdMJlpki/i3w1dz0gkI3
B42V7rlj4g92/HS3yFo99T7bG4XAd7EqWkL2M7e2bOtMltgFie9zTvU50AKvi76CsRU3s+KKsePW
GxihKgO32E2Nx+6J9bzxG9T+wh2tVyeUMAIFy9DWeyOqpp2SNl8Th+cyzusJ1H6bmfWXHbSNuGZD
XOyopAUC2IjpWpsFNuSqqUd6WhoVJRs+VSIk45dcI8S2k537FDqZJeuF2WPvxAQkIE4oTBlDKPkj
45cspTFzY7E9fm1G6cNCCqLid41yeiMzB7cPfjkqZNT2WyMzFlrvJ95kNbEetZXeUTFLAUBkcgOk
c0uZZIG13vULDcBRk+buxjXj5ispDHWXTwu9RJPF9tXQGNdnBwDuITJKOd0TBTeeB2PgT/GTzj39
D+bOrCmNLIrjX8XyYZ4GqvelZpKqMaKi0RDDTKbyQrXQQ6809ILAp5/fpWmlFY2xeYA3Azl97um7
nHuW/39MhIQrGXdOka8tBpcg1qbDZWQLbBbg+m85ueHVU+ElugJmaEJyXwqnpPoS9VyirQUoZTM4
o8Ns0RmnyqwDTku4ADjTXHW1gLaylgTeip20AGhZZsU1SmuX9KBJ/+IHzDpUWNKhJPtqi0UTJSfm
/WBF3RehQ1r7YLJcBGFxm2jgK53EKhEj2GQIm1Go63+lzynqyFN42050y9avpFjBndLDQUcxBnf4
qfa5xJrsJEVOYN22xz+UNM7vlhJZ9ZOWLw9Ox0sl/DHOEvPreCUTtON2EFzeJ/ATr1pxDJNAvugv
FoMedcCgvVMH8JV0GOtSWRAqHRj64tKaze8vtGk0vjKMaYjdDf/S8iCjoTve18+TUFK+z9IVPR6J
nxjCQ4/VM0+SSFmYZSH8OMCbDX3pTmeLufBxS0F4XgTZNWUI0AXNVS7HKYhpoEz4QX46VldRFyo2
nGhSsEkfcgTrDBfO6BnQDn3TVonahdqo1Usy2hPuqTSmujYw5v1ZawpoBTuv0jXGltUxF3Ovz9Ib
QEWm0HBqDYop2+OY8H9WzOm2iibgr9NA5gHg7xm9uQbr18nMspZ0LBhSeK231OLCoyb6xldWlJ0N
iF5/SaPZmByOBD8BjYlmdxCPl7AxFUH+jUJy/+8iKuY9wmz6kLUr92Qvtd0ZjXJnMCoNQD5TlrT4
te414ud5glcvh0GXbqng2pQkOg6kObGMOGe/osNKAe7NiqG3mRTeaTGJY7BLZ6COwAfWVabGlPSp
trhqRQw2NBECFs6EFsp8nABrRmb1e8pR5/E0kjOSRBeWLwHUCcyG1c+9ogXnd0F2FLKFewN+64AQ
v6osrhM4e4gr4rnonzTTm/TlWAaSSZsHvURT/jO5DIL1NQuz7HRB28VnQqwmAApa2pmHoTW5pYDs
/h+DQ5l3uZol1lkxT/JRSCD20+9czqPpYKJGF+pSx6OJ0sXiVDICCENXQNV8IZMOtklkB1JW9vjv
O4p47iY3Tuxmf9aihh/rf/4azMdGRRHV66yBIr8Wbrq8dcHCzR9iZ+LbXuJP8n7yvh9VQbndgo62
kZuH3NdyoQG0hZPtqCIe6ZMw5Fqltb6vSYic3M+LkfvhWCFaqCs6MUaa4cWH4l1A78ebr01bgH8Y
hADphxefkgxoy0Iv2eD14ZXGfP03tQE4IzjLBS5t6g/zbROQKdDeaIQnMraMYLR1yqAV1YINb/2p
G0FtC6AShS690kYEW6nZPiAjcBDKTwPSL8yEF40ga22TVIiikbRaf57MBKMtk6aQdQEFIz6l0Q/J
CCUQDqSYtYL6X7WDYrUNwvDcFIyddjDb1LKTo9Hl0g4HtyJMm8pRFdydZmZQ2oatmMBwMsDtHUFu
Q+VlGwC5l+Y5vHmgC9z5RoOXdYDsdV2mYal8yQjctoHdtg1dk0nVlF8fnA00mU6Qpkaw2xpYqgDm
2zsXAhuCZNmqsrGBwO0/rF0RZjmjVKoEFno4aZ+fjy/vinTWAB0jSQJleXsKWKDHmBLsBOW+e0j7
oCFbKhmvpqcigDYscUG88GTodhu4VQsSo82b5+sDe/HgXJdKvf/FK4J/UBSC8O7Xn/pxCEaQbhi4
TtahHofkk+Wms18Rng/7HLnm2uy3zLZtEvTSNoP/lbX/hpXy4GQDQhCN1u6172a7vPCXflB5ls+/
33iV3dGHY+E9134oeFLKZz963x9rW8Pa6dv6snIC18/Z/PfNAJ8/uvasalTVP174buqkQw+CSXzz
5UZNcbX5cAyGvJc6R73UGbmZt+390unH0fSo0IfjmrpbJ8Cr8rPMiSsxwjIi6V/9LUb1PrGQqTtp
JUaIpZYIt6SpthdOunQmTiVo/SbpUeK4ayzZj50hNDc7LQ3MHK5l00dcOiBdHf3mxNM/jq4casL9
moVwr4Vj3fQpV0464X4a1o1UXhIay2aeRk8Ea6Jmpangz06Yec7o3nWnlbD1uxX1LdU/vH8yXjsj
b7l7DYn6meYP+DLyUb+Ss15FXJr38DJ7xagYem6aLmvCDVXAMjY1eq+YBM5dJWetNZWye9D61gkc
YudOLV6xuaw3VfqbH4Z+bcNSJdDyqlG8f5L0ndiPjm6cUVHJEhbZ+JFNtV43c+/aWtTSXWkq/7ub
5Ucn7gRC5pr2pR/QVPq1w2bOhpWntTm+uWg0lX5eBEivBXYerrGNZSc1jYVcCnIrE71/snAqP/C6
3PjD5M5Jj7qZIMPOKuFi9hAzkWURomo6jr/SYvLy8USOhULjfWyU/ipJ6+4Aoul+EbG/pmPop6Sv
6zNoI3wPq3c3A0+ltHgX62epIHM2HshPeM9f5hd6iEu85pBdOxNhp0rNjeqURIuy06bv4GdUfg11
P3Ujz6+0fNRc28OKO31YbyRTdjxiD+fhJ4G14T8Djy1Di3uYN2+Bp234At4AGtLwCZccBS+Ckuzh
PtJ32UXHT338x7BG0xXw1vLshmbavR+9hxHsVUV23TcfshPPb6FV6mXXf6tfscUvhpHrpB//BwAA
//8=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Digital Payment Transaction Value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State wise Digital Payment Transaction Value</a:t>
          </a:r>
        </a:p>
      </cx:txPr>
    </cx:title>
    <cx:plotArea>
      <cx:plotAreaRegion>
        <cx:series layoutId="regionMap" uniqueId="{5F1D90B4-BECF-4343-83FF-F62DC994C2D1}">
          <cx:tx>
            <cx:txData>
              <cx:f>_xlchart.v5.6</cx:f>
              <cx:v>Total Transaction Value  (INR)</cx:v>
            </cx:txData>
          </cx:tx>
          <cx:dataId val="0"/>
          <cx:layoutPr>
            <cx:geography viewedRegionType="countryRegion" cultureLanguage="en-US" cultureRegion="IN" attribution="Powered by Bing">
              <cx:geoCache provider="{E9337A44-BEBE-4D9F-B70C-5C5E7DAFC167}">
                <cx:binary>7Htbc9020u1fceX5UMEd4NTMVA3IvbfuluRr/MJSJBm8gReABAn++tOS7cT2KJnMd/I9pOrscpUl
gQABNLp7rdXYf79b/3bXPty6F6ttO/+3u/UfP5TTNPztxx/9Xflgb/2Rre5c7/uP09Fdb3/sP36s
7h5+vHe3S9WZHwnC7Me78tZND+sP//w7jGYe+vP+7naq+u56fnDx5sHP7eR/p+3Zphe397bq8spP
rrqb8D9+OOnuq9sfXjx0UzXF13F4+McP3zzyw4sf//n3H39zAs++5NPcnm36t/ef3brudrpt/uMc
vp3Cvy38RQt7M833MH/MjiRGjDBG0NMH//Ci7TvzuVmKIyxkijml6dOHfln+5a2F7n9oRk+Lu72/
dw/ew5qe/v+m6zebCC3/+uHFXT9306PlDBjxl52vfJ99asj6x9mfXD635f9mA9iA/0Wr/Ku7L93t
iyt3e//gyy/781vH478wDT+SnHOsUvRp79NvTZMepYIzzFP2rGn++LSet8/3/b8z0r+u/lJGyh/a
svrzbEPUkWDgE0iIZ91GHmHMmVQcf7KN+PLqT27zH2fzvEk+d/vOEvn5X8oSrx/a287cdn9mEJNH
CiHBU6y+dxGEUsVS/tlFoPlT8P5khj80ledN8VXX78zx+vCXMsdhrm/d7fRlY/7fwxYhRyIlEkkE
h/7rVIKPeCpSgVOw1ePnu1TyBybyvCl+6fidIQ6nfylDXNwChLn15eT+TM9IjxgnSFGeftr0f0/v
SKWUfPaPlH85B58c5A/O6Xm7fNP5O9tcHP+lbHNzW9/6qbztvmzPn+Am4ogrRglV8tnsTo8UR5go
LD8Z7jvL/KEZPW+Xr7p+Z5Wbv5bHvL61Vfvi8vZ+/vPMgvERwgIjpL5LJeqIQUgjiMsvL/ucQ/7Q
JJ63xNcL+M4UrwHZ/oUw8JtpAv72p0NgIo5SQrnAYJCnz7fhS6EjLgTlRD3PTv7wrJ43z3fdv7PQ
m78WAH734KcX+gGQV/vlAP8JQewxSgEFQRK84qtcr+RRKolI2We7fJ9X/uBknjfLN52/M8o7/Zdy
m4O77e5fvO6n/2yUP5HAPh9XvlY1vnniiWL/cdoK+A88kgMzYs/5rEyPqKCCScafpUbPaCzfzub5
Q/G52zeP/i/LBr9tkV8ElxzUmt2TWvScDvVs69PyQMD6rvH3RKdPlju5BzUHEAORFJwRhKhPJnsc
5xvSc3HbVcPsvgSBb7s9AMz5xw8piEKMAkJXAB4xU4z98GKB+AEt5ChNQRDioDyQVCgJsKTr3VT+
4wfCAfcjSVLMMMRsOAM/vPD9/NQEYYIKxGFECOYppeIXne6qb6Ppu1927PPvL7rZXvVVN3kYWIHw
MXx67nG2UgHVg9dIwlMOGAlgFLTf3d6AGAiP4//DR98NCWrS49pV9jiWqMlMlZ6yaaN6mAwxGTfr
60bV3YGFlmem3NY31k/Jqw5X75xJx4tkVNuNKex6JskSbnxg17izo242XGq8sOqYrD3ac+vNqEtX
vGVE2YupSU68K9KMzWo+axt/k3QNLnS9lj/zpNk0D3WXkdBe1apWSre1bWrtRZw0G2e2T2SVbvnA
RXidxqiytZgKvS1xuHA1W8ucjxFltux7vaGiPlRDI4+TLmX8OPXp+qqdbfm+GoaHZks6mZuJji5b
q/pDReqfl5Sg44qxy7oTvW7KtjlblJ1yT5nPOxY/oqSzOZu78XLli9A+KexNbdrxIm34cZzTVi8W
N5mr+JptbsFZGCsEA1Xvw1oLXU/D2Oqkm2BBfhn1wukJwq5+W4N+aDWazd4RizMPR6TRy2SHG7TU
9wv3LE+KoshoGVufYbT4THn0weLVwlBFFw6R9CZTKTOvwrJmE12SV2GW7XVoRXJoF150+cAKdM0X
qQbNzFK22dbhgDLsHsckCyqcblxDddOWqDuupileF2RN9tPI7KR550I+J60gx+1QmuTEbW17Nqzt
VO+LjTRVxlbfFGdbXUxhX6okPQu9n99NxBXuxI/Cl4c0VuF0nPhIdJluo8gDj2LUXKJQZLUfWqaZ
ZehOjHR923VrF7RKvaSayXGMWbB2SncxienVJJtGaDsy4zKcSh70smwp0grX1fvJC3exTRMbdriv
TZUZXLCXpekszqclwdpNLdLV4CYt0y685Ix6fB2bSfVZWvuk04jJVu4WhotVpw4vy03tZFEey7jO
4ymcMGqyVhmz5V6O5DJJlu5jP1T2TLrZmN0UBzccghg92DxW8nTyzZjqBTu+ZGJJr30wJ6pBQhO+
FNrwZjehyeZBUaSplGbH6KVC7H3r5dVatyhvK0QyX7njcmKl5g5dtMNmdE/7m0DDz8XAXs2d2EXM
4mWV0mNumwu7zON5bYqcNv2JKC+EDYPuZNrkg9myyfVgMrLwfLLRnhjU0Ksq0uQBjnPeq06nAV2R
qUryblXXCI3Dvl9WbSFE7VNLhhyW+pFu13YKuVfQB+PhvU1Ife0ROhlEWeWLc02rS8ky4muR901y
z6q2eZUOSaFF4q+UiLmP0etxcQYOgzLHLd9aPdPytaWhPDSNrPXSUnM8StNoIWzUaUxqjW3vs7ht
aNdMfXLL2FjrUR7Wri93G+0XHQZpjjuFOj32NJesHsesTmmfF7jrL1BViw9pNK9Ia6u8UmQ+LEU7
gMvU+4a1KsdUTtk8F/JuY5vfORx3WK3+nJB61bRQJ2XXFieBy1cQ+i5MzY2mYySnTaX2k+W7WLft
nkUiDmPqDnZQ84EJdN9K4/Uq4oNpipe0XPosbEzsmVevky3gh2VSzc/zZj5+lZ2eC/cCmNdX4V4x
BaIREwITRKWSUj62fxXuu2ENSahwepyYAenS1kSnW9vh3KwDf1n2Arwk2WY+7PjY+AvUr9V7U/cF
0msIImgrlhLi5CTA60RfpFc1GeZ0Z9bGRTiXlaLa4aYPugpNfNu7Dt+FWIA/Y7csRSaHVo66tZsT
eexnR/Q6uHDa4HIuD6URiTtxmEOw6IbiLMQ6hD1/iibJU2QZn6KMfww4q13L5GSeoiTH4JchL53r
Jj0jluxV2dQ3U51EqdsRyRM3jhCmFmHuSDH0mkxmP5RiPm8Lv19SRPdzVYE163COWLmccdSdkbop
z2hR17ua2DVrSFrm1po0I10qdJjpzWbxpGsIZ+eiK/hhHEmXp2HiGe4rn9u1ONCuI6d0ltMDVn33
xgXT70ZatnBW/Wi7g2/wvB7q0KdzJrYqHnyxgbcIVDs43UxBFGIDrptXVfR4OYtjbbO2Xrgu+Up2
aypchsbE5mlqurflmG5XohBMe2Qvq97VZ9FgdjWzblu1Kkz3EwQFn7Wj3Pa8X/pc9purwKBj/TIM
s7o3E593VVdfu7YnpwJBOa83tsYXiOHm0qaVNHpyE6qzdrJbdW4VEWflmsiXnbLJQYaS3akiJAec
tNNVkZBC99KYu2KswFvXapw/RA7RK6hAXhZ8RtdVEG3eY/wzawt8jFZvd77no9HEuqu2ZJWuODm0
to8HPOJTyHZOyzkJZ8qMKherG3dL6V3mSV45rPQ4xfNh4u9Ls6072Ll3rYH0z5qqgJWkcZeoMmgy
4Nc2nfqsmddjx/oa8txwSFd6bxBe9mJM7kZad6XuGD4M5XRKZZ2XuD5vCT7ztnhXGJqrsTzpw/Jz
hYU2fXqJQmh1nGe+X7f53pYrvmxG+tAzk14088BykKbcXq2JOu7xdMuV96elwiHzoinvY5oup0Eo
f217Ek+855uuh0ppaxt1CMHfAVjkWcfpfWBtuk+sE9nYGJVbXFVnrE5+2kprDjYifNmN6UXttpjR
Zia7rktiTiXu93QaimycfacDd1smhnnOu9BmKRi7YUu9m9SQA0rY94OfLrYBuzxuMR4kG3xmV/LK
mWK9aDGuTogl3XmCowDwgcWlWSW+bnjnr3hndjQN1UkyqTYzC5paXXSyOhUpJ4smScsefNGGHZnx
8LEJRmlI3/2ezVufW8+JppZAa8VNXtOmPozLWkOGnUn8aeUyeC3WSN7JOE+DDs6i9xWvprfjxFCv
u6quP5ZFRYy2hSmzejaT0Jysfjgkbi7Nrh+dPSsec7R7zNbNU+IenpK4eEroVLamOlZPiT48Jf3t
CQAMpgAwsD4BA/YEEsQjXigfkcPXVdXPIfoTQr/rh+gqU34upv/y6z9f9xb+PZVZf/3jIwX59beL
L0X8333q8NA/Cmv++4ce2dYvY/1a0H2kN79Ud7/jTN+W1v+bxj/ItgTBv0u1/q06/kS2PvX6xLSk
OuKcCIWgMgJSMMi9X5iWZEcIgD3iFLQvrqDK+wvTwqBFQmERIaZgAlJSaPrMtEC+5JJA0RFaGPwA
ufQLEfzGjkAwn0m93/EsJrhSwLKArqcwEn3iYV8lXuF5MsgpnXbcA0Po4ktRNB+x6vZhagDTT9eh
bz6ObHKfDtQnQvrMe5V8ZHBfMTzI9goTDLVvoHoc1gJc8uuUb0pON7G1804UqXsomER6Zow5YB0B
mxOCNlbrSjJBtayS7Qb8ZW1P2lBulxX2w0cQHyJkwDivQneNUu97FfuzmjDS67GKzObG8LTWyEd1
xdpx9ZCFQ7mnvCBZ6Wh/2ESQpwl44974dNh0F4tBA5cFUCHcy8W0IheU3tXIdPncqD3gM5xNCQRr
OXY30VqrJ4N2IiHobCpXpNnq6hu6YgAk6xroJe4TfNUaSFPSJ07qea2XS6rq1yZV8L4irv6wUmGv
I+93zVCf17T2F80AW7GmG96yYkVx1VVTQeclVk1m+zHcUZGwN5P0q8/8jM3LSqbunHcWcnwVC01E
NVs9kCgzMvFa07Y2b6sFpzeCh3UHyXzITdsf8ELm69iPLC/6qXw/IQOsoXEAVOLW0D6jIVEvl8RP
H4uVpKvu+tSZzNRTej8Niye7uIhEG5eiNyvaPPwIjF7kxUDLG9+PRQupKjZd1hJTO22buBwUUuUZ
oWg5W3jSnRPWuowmXFyulWUvUbVV5Y40kV+NSSMzwTw6r/w6Z/OwdlerWcycbRC5Or2NcjoV0nap
HoaiO/RsXs9DraZ9mRRdVrs63dfVtJ11axjejJ2SczYOPjG5pLx/C7TR52RKVKJlswzJYVYh7a8M
oZB3S9aAStBCMC/y0I02Y35IJx36mR3DVYFqyPoSbW9tS1DjdCHNNGUk4mnVQ6viS3gOqDNZOvzA
E8nRzsyh2wU+pVelWDzOUEgMz2Yn6ozjZDqZQZkQWnV9HQ4moL4BqETogZVyHQAgDPwtj0Fuu62O
oshF6ApdrBNID8L5ugYwM8STwnrpIeXz4WKey+nD2BE4SM2I3hvUlw/FJIc72Jnqxjdd+lJCVmz0
GNvY7So2l+9ZZ6tSV3Nl9qTuKNMC4XAlyAxv2UiJj2nRpFMWW8k+LAPzp2KrxZoVIL0UAKnrsstL
ChyEVCvZ176Nr0i/0ZsOq2bMF0ymLa/tiKze0rDejVYKo2uzDNehwOkHr/rynatg93ZMuf4ibdsG
5yo14m2YcARsNeN1N9NqvbX95N8sJm2JJp0Tt2NVj50eZNIAv3OCZ6KtHcpGwGUPia/wq3Ia7NvA
6+JarFS+7+aWBF3StkhyslD02hR1OmuGQzPs5o7bV70Y2c7HWSzajGawuqhF40FimS3dV6UCbUS4
NsGA8yTRphRi25WIqAMuw+wywHhYh0mh4yi3EA5lU7obt4QRiLpB7dnWNCvWfSwgijTSmkXbdkle
xiF6m+FGNW/rmKSVRqivUSY62d8h5DqUC07t8TYmg9c4qWWESEjkydxVsB4x2x48HgSpq8S2JdBi
yefMpVw2jyLKcl31ir4Fk3LdD8ICRVKD2BVMuFcGuGzOBrbsQO6z1y2u6t02eCH0INbxPfUQ0yGY
ofjTgpj4AMEcLKqGLim1l7jjGQOQnWZjMHWjgawBAEqUXTcNTj7RbFphpskwnc5GxE7DDNMkw6GD
sBCKgvd5A7zycpnE8rZFrt6yjbW110VIyXCMSEp+qiYfQN6bOXA/hJOO5UtE9UWdkvkq4Wp4o+LK
beaLINWuWDr2frHbcD+azbW5LWcI6RVKkzEDoQdkhaEtN66NctGcYCADUktKgUZ0FpVXPQLdacdA
3jztgzDlwbd0Sk9jMnsDMBqDd7neViIHOp/cLoVbiyyawvldR7pi7zs/VHrxku0ZHes2X0AD6XVB
u4RlcHBAoBr7ZjWa9Yltsn5BaT4WfeRaRJDQMoU5L/Xq1Hzu/GChi9pO0zoM2UBUcQEnyX2QIcEX
SePk27l29jTY0ICkhSAQIy/aY1FGyKBNN8d3FurOc2ZUtVyyqVHdzjYQqbeuEU7HphxHTeF6033f
CfFqbQjVFUPC6mVAzQAuJ93HOIfy2gk6lBnwr2kXULpcKrvgPSw0ZNT09l3XG3dqGgViTS0h7RjR
Pgoh3XYGYBxliZz9mQTX21GY+e021ZfzUhZ6lohHvWFBfjYFby9ZMftlNy9FX2YNrWSVkYFLdFyY
iBbdzKq4RSYCR5/F1MTzXsQWayVC+Q7RFYGhVVvVmVpXNWcDhrWtRRnf042K1xB+h6vVgdRh0Bp/
6iE/nwti1ipTLWl/svOaUo39JoEyIbGZLNSyQhlQAZDEfGw2cMMEuQ/LzKcrJpNwWawFuULS8wca
lyRTRbW94eBId6lICpZNSFT7tW8PhFVxyFQ/FZV27eTutyqYIQNtG1hTmiYgyoDRyHUFwvGrvsfz
yYxI056PIcif+FyWH7emsGWGyzGAYt02CjauLh/p8bSuhJ1sKwtj1ptCvY94ELeQXaprqLSWK4St
AdRXTWaQQfN+GpIJ6dE38iUqIOVnDHSd9aSVHa+zhDqWezfzfKWtByeIjV59Ut+OJC0u+9C/C9aV
eeeKNS9r3GeV9bHcAzAYt2yeEhnOYsnEK7GBYpSNkbciswWrQcxYkyG3sBPYFtHt5iGhtbZE3Y1k
omddKRTXQNJAIy361B+PSSLOZ4Z/GkUxvmlWyn5WoHC0xxLBMdulxFejxgRAgmYgX3xUIqlHPc4y
zDtWcXWDqDDFfg40Rq0aU/i8XOcavJPOwL6WhTo4NMHOeIcUCClazWvSn82BsXfLNMKJsrjrAAi1
DJI+grTnWgTEVG0K0iUkePzRNUXRQ5xuzfvKdWHLkpmtL0VVAddH0YZdWUVjtSwlpufNauNpNVbJ
z0XlZgWqAasa0LAVygbeTB/oGHzU7VwlH0wiepFRH+vbdaEQBVJiQSXEW4JfdWpg7NiEAbAJw9vy
ZmmAwWYx8dSfxAKuMGo4AqBiNXUdzUWkiN6grt3Uvl3E0upqa6GGMNNuPJkEkfe2ICCVsQLk+KbN
3TikGZ2w2PPAynfLSpTmyQaIzRUl1o31vQ4ouowUqwpZ2hVbrSec3EVshp8Q0P+Jd9nCEqLrdFPa
TMruWZVE0P0rqudtgJcNhryca2UgPHAQrGhAOuExt9XaHZuUr7WOtWLX9ZAku8V2ak+8a3cyLRik
3FBcxYLzHoKS2vbK2bt0I/gdnET6cal8vXOhouBhvUyv5OzceV2uSwIjtvJmw7Hqd2hKy1dJxPaC
zAvsHzjF25UtEK5aSrfuoHwd3xVM+dce6mAorza+xnwWxmON4zB/TAEN3rEydEL3ypc262mBQH4A
dvORKh9ctiVl+ZoNsYcU6wm7WDyNuiJJWWeGwCnUTbV0ZY7nuHysErnmwzbaVwtImpMeumKY88RG
WYEsYUoAldO0kuOZ0VXlsVnjKYODCKC3tVBIiJBpUVOWveYs0hLSWDe2lxbQvM2brQ7ohLvW7QwW
1auhGZObPm5mt0lq9GblpkCdc1A8IGrJ+rSmiebjvCDddiI5bdoCFKM1VnaBQyzS130RoOJGiwhI
EBIl6OjGhZaBPDZCjcJsokygUgGabJ6wCFsrWf8GT9buhwo1Yjc3Azpbt7UMu8l3qc8M9+27OEPZ
5NQmc/nQSONKkMYLQEVdYgEiYoHMpM1C+rdopu3rxSN1T6zpj5cY1+FkrsBHO2DGvTbU1bc16w1U
8RLQiZfYRKxp0rWpJiCbnaUmADxMuzQ62GWlaB6WgkFwgPrmCmm4H6+dWuqQTaChcu2qDQD2nADN
8cxBeUFWIz5rlYOKUXQMvZado3pJ2odua1epm1WVBoRlWYD2apPaHHNh8KlwC7/spwAQspyWVJ1W
VqHTwkFBFMIyb06mmrsrT83QgArIFrAjB5oX1gHqgYShk0UZPmRJX98L6ZGDkkuFz4Al82tRd2dY
bUgvY39iCdku17J5U27C5hOQr11Pl0PnWXuo+mTKCTZEL0S89OAAL6ukULsopiGTLUPAGwB+uD74
Ukc5Nbs5bkAstgpUxbmdQVdf0L6hrjp0I+6uFzbZKxtdn08YUCO1OroCXhNZe95DyXWXROAiUH8C
cAGlxJc05X7f9e3xDIktqwFfGt8sV51w6C3qLPEQYOs0t86/64owZ1NFxA1ojWqXDnXc8259Kctk
XXLCZ3HcszU9KWTBCsAnxASIUCnKU5BwzzBuFt27Sm075NruslR9eroFt7AM6gBFtkHwflBeHkaF
/Mchls2VCWHSU+jSn/okqFNZEvqejMLcK0igmYQNmkFrhkfYjEY9VEXJdzBik1xtAqpf2UqHFRBv
6YfXFoTnYzIWULNc0ohfU1smZ23RzTqkyXAsRRneDHJsPhQz2paMoJh8hLpn5z/QBmgQAIAqkH1X
KLQdXN0sCiIpWfOpYgadVPPQ3id4cucRl4AsQwm1PihEYwRoYIjNsm8DoMmmVuk1lOxVvcdqnPcz
XwJwHDTQNJsr3BdAMwEp5M1jzhzUUHFNBwWBSi10aXLASP50eAo7E0ztp0mwLeTrXBUoX9cEDkVA
ZONQsgOasO9r2q0Z6T1rskHOdNa0w+LDJBf8MPCKFDlcKmhirrxKT9KQrumxHRdvMtqVAKIX2ooH
ZWibV6DknPnFL5exXjeZIVQCMJ1xLe6cZRPo42asrkEW6I+nmdIbNqFgd0YhCImFEktuis3EbBh8
73VlZeSHqiqAnNdtF4gWgaDz2Q3DcTsFQE+TKl3c98k63U1xU9Ph/+ujX30F6u7rr+p8c60EwxXv
376I8s1Nnydl9PH5zzdQ5BHDGOQWTkELlKCOftFFhTrCKaifCsGVZgUlQVBMP99AofIILqLB1wAE
erxk8iSZftZFxZEUCG6jgZwpGRZpSv4bXfRbdTJ5lFYZfDXn8Vbb16qkB2zfN1Uqjkucp/ylD3Cf
9pf1P6N7/ta4j3//SmdNCRSVPOSM3cTLttQblDDelUSsn7799Juy6m8ND7v89fA1CCBxWTu5K93o
3M0iNmRem3Xr/0OlFu73fyXa/rot34m1qd0aNTeFABDO/XY9YAuXGUpacwx3EZAlGgjvVOz/Z3sF
5v96MR5sXy8GrgusnkLhVsFtBgeSiVAffn98EPKfXQz6dnyZjmio0wjoBA/sAsNVIEBiCEj0eVRT
tx4SuUEosnEcbn7/hb9hne9F9kGhIcjHF4Y2letpD6rEDKriXFa733/Bt2r+L+Z5vNj89Y6pagNG
MFO+Wxovl1MRKWjcQ+NJec6bsiYXeG7mJhv92EHxGfgNHveoK4M7/v33/8bxeCrvf3W6bRoWDnUt
ebCtH4sbae04v6Uj3Hg5Bb08lddwQYyKk99/GX60068VhF9X+2jXr942SOsb7iPfwV0W4L9QcjlI
ij8ODR0XkDXNEqyeo0zO+wW0991M+sf7IolRxML3rP4H3qwe9+GrGbQGqF7LF9hvRXhGXf9R8qX6
D5v5W6fluxDUQ1hYVJzgkkb08v3/5ezbluO2gW2/iFUkbiRfZ4ZDSZblmxzHeWHFTkKCAEnwAl7w
9XtNaj9Y2HZ0Dl6dCgYCuxuN7tVrxcOBEhKAH+/Ctu4FIp21Usx04gXKLPLvGCO5j30klT2HLe8F
oiHauBkbzgu9pOtvyTYylGJcGhbmMi8MTXprjSEjL5Yhckj49midLsIMQxq4fS/0kL1OskO3CD3o
KLTnQ4idncYRfnsJOh/hxR49UZEgQU7LKTJbWS8J03jGZPVfQctn3vIExeN+mNHQ6IcjFe9niWGk
37plif4JWj+9BaAfDH/OYhtvO89KNyRdcdQsmgChUAA7/Pf6Nxv/iWv7OKB8ALoJXfWqHKLMdddt
Ssxa6O1I5GWUDcsDf8aLIJQNVYa2T1ouiyXLHdCUfVygUq6Bz5DLtod5cuqFiXFYx4ruXVYaotwz
oEjNuz7FozrsrLw4seH1mWxIoUoS7bLQ85TSx5qhuvdF8UztrxzVLS787Ivc/v2HL95keKVmqcnK
STOU8jsXv8vrZNKn//4jfrU8fbn8UMkDNU8nSgvow36K2519FW4wr1yMv1reCxh2TYcUPQtRrhpf
YNF1VzAbpSZw9164sJL2aKK1WcnmVeEbHIDSoHt3SBf4A54/KxSJx3zH6edJN/b3JuH9Vkxt6rb3
Qed/S8J//LwpOYAtjXZR5nMjf0sBAHq/y3o8wvYvPEdLj4kC5MDT0lC2yDugt/f81Khui8NcTHgu
tstjFOjspKWaa8PuZ+B0slNr2fTabZz93P6F52VH3dZxt+ETjxVQs5e2RgXgfYeulXiol6pTxV6T
o/9ddxn9w/b11gdmOcJzPL3XFaBwG0KhzrR5aKK5SvFwUDmyxmzZWracANR261k2wnRXtbs6vQi2
0eHTGi/CBh6w56BHJaI0U1FVdmlkL1RuaZmlmr5iH8nNU34SXgR5aX98XYDAI2Ne0thNQ+GSagUW
pXJO35mcpse7eu6Gf0zEtu6OoZTDn3ZKSf+WpFnW/o72AOevbOUXoUJ4vpz1LTfDJllp0mqmQD7m
f5t938awOMo9R7PoTmdtW7OyNnv2leP6eZrjqAuLc/xmvT9E6ZHWfRtFaV5yjZfM2SZZ505WTsf8
ihn8wg1uI5I//gA6Lwcga1NWLsdWkfuMTVP8bTcJXKIhzb8wN4tmOXHC1N9N52YSeG6eg9Ot1/jK
kyhFVnX2ZEYyo/ZoWRQYYrnn4MBPq9EKVMTtyJNCHGt9cWKILkHxlXteDGxT3Lfj7soZsL/S9cCL
i8m0rwSJX9gs95wTQ66okeKdVbZEdkD7JO0F7T0SaFSeb+IhMmSJHFxJ8G48oR/2pa/Za5ner7bu
uVsiTM92XbuyTo/lrT36GPfnCEBroN14N2fTAotJp8OVmIHJ78m6q0uFYagy6LMyz5upWblBI9qV
S0XYeaMA38wAvYbtnXnenPXEZWuKzxot5NYPt4B4qJSFBTrmuXIbR1O8VbMrx0Tq65z3aHlz5q7/
fTI3t/lJQGeevwJz3jiXRFu5RfxvvATVegX8wPTlsqHD/t+/8QvbYZ7L0jVd+1ZVW0nhuB8Bmm6L
hA0q7IV8m4z7MdQB40/Z5sQGUBkX91nO7aU9+sBwwzyXRW9MV5lrbVnPmr2RukvfAtcYuHXPY3GT
VkoldCnHoa2S88TRZ0mbXTWXsIP3nJZXaOJEDpUX08v9QS318mgrtIHCVvdcFvXRaE1su1wxpLTN
n+gWZ/odnzLRhNkN9bxWJXId65XsyNmsOyvDvx750b9i+L8wSuo5LW8jhdmIai1Gjb45nS05jTmw
ZUFnc5v//NEoqWkZqdpsxclHXyeCBKzP9yrss2J288Xiyrgpimbxv1tnBPNvfBWhW/e9lWeVzZpk
LXIMtZzIbfU5/GA8b1Xxaio9Y/W9zZuzzZTFGBZpA4/d89aG8WyISYzVGfl7lExfa1kHFpuo562A
h+hM1lg8d7YrNVC8eBqJPSw3uDVRfrSYfaFppQ+1FnypttOeoCmWmGoJu6Ko56tdY0g/0NgWAMH0
p62Rf9sWyMcgYyeen85uWszQbBaQtQZYVMa/RutMAhf3/DSu+ESPJlqKdIz7y7zLP2fr5sDFPTcd
McLb9tLaohV5cxKtxLDgBJBh2Ll4fprSNqplBLB+mtvkLfDf9D3gxzqsRUU8P90tI4BV5LZ0CZga
T67PBL9EAEnPYTZDPFcl45531tQYBmZdP50ianhpNrJ8Dzsdz1cTCVzTsHe4WatZAzc5J5dZtUcR
tjp56U52Aq69Prgtl5z+kbTkw8zoh7ClfU8F6qs7jmgpZRM9ITx+PUgaWF8jnp/mEq3xpE+Xst2a
7GIb/jwoINiCNp54ftorTDXkmbVlJBeJGcD0MSVjHGbsN963H+MX2sKbmfcsKnq9/yWP5Avh3Zuw
fXteCkhsHeG+PgBfSeYFCPe5EacDgJyw0Jt4frrWAG8qNi0l6DHi39mCOHCapUvCMo3Ec1Q7YvJA
V4Mtu2Fyl2FPvzXSVIHH7jlplckxXQFXLPmB0dmuA+5kVq91Xm+L/ORxcAMD/PhN814waaJuKcE3
kb/N5jp5q6PKfAn7rJ6LkoUsE3heYY5N1WBkb/s9zWTgJ/V81DFA5apG2XLiK+DC2f5Vj9n7sH17
Pso2tm8SY5Fl1M7PzB5vOZvfBi0dex46bFVVL7ReiriKonPUVo/SxYH1gdjzUAzUm9RFJCpEnL8D
evErUPU6LLTEnotGDfL0acCZ6Kb/MNTDFUDosEh+4zD80QiZ2Q66o+hdDG69mzbyhvGwGzT2HNMc
fBGDwdtOdPVjNuwlMNNhnc/Yc0upl73BGExUmO6zA16uTX8LsxDPJXXeTsYpfETWqG/Tnn/InAiL
U7Hnj3ZcAV3dxFIec5s8u2MhZWvpfAnbuOeRtK/2vpX5Us4RuvukV3d5lf8etrbnkUrLmYNTOSq4
RHYbxeJPloP6ImRx0DK+tD8Y9gjsLK7kRor9hMGPCKPy6RrkOCz3nBJg5HRhfI2KUXwCWjNDfzls
255HNnUzsrE5ltusHMZEMBl0SkbxHLa455MbwCPH0VdzAaDj3abRbsew+xJkKaCKfXngk7WxikCq
UGSav6fWfJcMeOCwjXt+ifHeIx6BZi6mjr7nWHu3a+janmsmm8Rs0p6gbEwowIxZ3T6MbBeBp+J5
ZzNjeA/5LAyFOwEyovazFk1QgsVyzzf33LJN5fD8nR5Le45ZJYYLQQYkg0ILyz0HNVvHKqAolrJm
5s9oW7+g+fA56Iv6YK2V0hgzTzgXa2t+Ga2SJ0x1p0F5BApCni02a4p69I6N7/t7O8QP+wrKpbCd
ex7adil4gRo6l5mibzUAhwWoVkjYifuQJ1tPwFzadSljoz+wSGPGtglKUljm+ydGgQ8gyueSEE7O
YKgCZxJr/wk7FM9BD3QUZnBkzUAAiK/1vD/IlH8KW9rzz31aKpWRaCqPRG8nPaTjte/aMOgCeABe
WsrAtz5fga8p0UJyl94NTynmgwJNxXNQa8ismmSbSozDdfo02yl6E2HM52PYyXjuuUUUUZFZfNH1
+GtGBrfP2begpX0E0oKLpzFimEsl6o+7Mfdx14XZoQ8+WqtMiVazqXTr2BTrVpNLpPvvYfv2nFM6
Vs3TruYyb8xZgQary15LO29+8n9fVcyHGW0R6sHgk5rKplu5PU2paN+OwuynrSX2OIft33NSrkB3
pgY+lVrSP0CC8yUy6jlsac9Fd4AQtUirCf6/znfrjCGHBDN5Zdjqnpdi+orLiRJsnCVfuhWEKSwy
v4Wt7flos49GTXEzl5xIjLg4ag926jPdqLBLOvX8lDV1ndlMwyT3CMMQ5FmOYW9x0Gu8jC9a8hEP
ZixdHfmHJZbvKiqC2lCYl/aWzo6qG9djKmnVkTLKyPIhqTcZBL5lPtiYpGvMVwlLrGJ3YAxpLCkL
RHQxH7AEfqxo2edmKvsVRGTxml7HDZxoQebig5WWiVnLchw5wiNoxMgbzfcwH/JhSjnYSmw71lOZ
glLrlLrjTT5hTjZs356D5rCSeCdqKpNhfU+T8XGKl8B9e945SXQnxBaN5SyyLzKZPmg1Bj3imA8t
qnbWqdq0UylwMqccuHBQXnRZWDz04UILbceoHfIRfZtmPE9EfbBRHpaC+iBhkBk2R8/jsawlBYHm
hkJFYeNIhB2MD0Vq2xywsfaA3+QHWAasEB/B3+jCvqgPRVpbLiqA4cbS5RM5JzN7wk0a1j1nPgzJ
Rj0G1/YB5jLkLFaItYfCAGOWryqohoMO/8vYBfxsnNd7j7Ovmy099yielVXFxrA+AvPhRoeyFiPM
lSmzCKSb53Uz3T82T7fAR6MPOEo6ErMNs4fl1Bzg+6sFiOTmhoe9AnzAUZqCYSFeY1NaLcg5FgB+
g1MqMD5y7zpdNLDxM+1NOTOw6mD6nag/1bH3dVgc495tussJo7ngJCiHph1Ocuk+7zoJu/O4f52S
YevAdoFzx7z+3THH4HDUQ3MXFIF9vBE4VOlh9GbKtuLuSzxU9R2kiTA/HLa89yqliJOcHPisGO8f
5ysG7cEBxCtw4QT+gJf9ohmnht6sOHk6b/fTlH1uRh1Wm2c+5ChVHaZ3FzDapmz5JOv5w6aWT2EH
42W9dXVgYlXXY5n2+R/9sCVgh2KvgV9v1+dP8nYfaDSiZJ5FtjMlxtizP1I0Fe6s6tZAk/Fu1iWO
9sOB7KqEp+YnAejLKTqitAg7GM9VpyNCj15jdb4e9sQT86D611BM/6agPzsYz09HuQNel5EBFMVg
8TihW9wi2KRyBwl4l9fqrjPH9sl2s76nM41EuTTNyJ8x4paO71H/m6dPedqJO4W+5HDXqh78WqmW
KMbXO8bAtxOo5cbp8zaSyJ7jY+zVn0PTgCMIBGmSXBKOWnuRGrvbi05QJQMnMln2eztGWVuSdG/Y
fTW02wGma1QTfo+A7D2uCbjbUnBa7lhz0+Aeu9Zj3syYtiPOXjGrv4ONee1o/8eeMla9XxjoS77N
CR/HMnMkX8tpx997MYvjRRuDbfjcg/5PncWR1vauTsAV+ijARIItj458Aqc6aISJmO6NnCdXxkOe
Hdet0yu7rBOrebGmoOUouG5Wdq616Qbks3l+nLNJ0vTUDSAnfbP1IMC61zRZWOlw2tuZU7XeOxd1
TyA4idmFgUQUvJ/VVLlPOmmHNCwL8dEvYy8X4NvzocxRbAMfZvvYuDpsaoX54JcYfxpnmRnKYzBV
dxlAU17uYywDsz/mRftuZ1YoCw5B8JkMKFlF4JsAD0uQb/kwNcqqA1kw2F8b0YEYUX2qUhl46F6g
X9FG2jVY7kpuq3LO9UPFk7DKpo9Q4ytgNQnKXyXJQRZYRbk65ToZAs/ES8smkBMKhY5jWRPwTOxq
/Ee0U1jGSr0g32I2d+3TeCjtYc0Txr/k3UCXLiwO35g8f2w3NkLGtidiLutJsUeG5BtzBXb5GmYr
XpSfOpBZrGYdSrDG2t+mbHToRPTZ//K//n/OlUMw4uXmk16Cgojio4q643tB5t66UxpxkMAF7d+H
ei0gh6iiZhlKNKr+AbXgA4/msJELqDe83Lyx27SORzqUTZwDR7bM6a7PNG/JP2F795KalY+OrpaY
UoPkOjulw0jRY88IGKbDfsAz+s30Oon3GgkC9HHBmQY2ZCllYILg471MulWtq3GFo0cznYEoE2cT
bXFY2c0He20xppe57AdMomr9ICgIME9ivJFehp2NZ/hz24OjfhgQyXqbPjQ9jf/Am/YIKwUTL71J
92503Yx8FaWs/R68M7ZM4yUNNHovvyFU21zeAnwrO1ANbaAWt+BMCrQa32enZLc73slldPT07wZo
879dZ7sw5CfzQV+c0L5tWmVKLkDpd6/yHpSm1bbxV3qHvxjvZz7wC/OgVSV01pdOJ3R6Nkquw7lK
e2g6bPMQPWMiDIoWuW4vyOJUfq5zPEbB+wqKsLCvf2OA/jFkY5BWxLZF/rkdY5Odo64FAUXX9EaH
PaN9gJiIqcOb5RaZqiWp3nSyxkT4MR5LHOYdPkTMxXbCSCrpS0oTcM7tW7uxU6vYGpijJN6tJmbX
TT3BDxyWALbs7Beg978HubaPEgON/7HkFrxsZurn817Tf9zCQzfueXY9umQGD2JXIre9aqIeCJnD
SgD/zjj+MITXRRH4Q8EgUi5snc8qYmg1bO5j2KF4Xr00eqqTbe3Lyk5ZYZsbnTyXgVeljxPbUkh0
9/iipZz26FvXbvT7FOG6Cdq7DxSbW9YPrE+6EunKU7q6N3qsX+FyudnbT56KPk6s3tFnFNMA1Yqd
NA+JnsBAKIct7BLzoWKbEjJbFe1KCoZTUBZn2fjQpLZvwtzUB4yxfB+o6OOuTHnfnsc8u1MsOcLu
AR8yNoHTq65y2Zc51EMeZ7BqgdusXT/89ze9Jcc/O3jv/s03dawbtGpK7diIrDme67zQcTIMhcDD
qA/KscAa9zIUg5Cjqswy6dJN6Tc81N92afPlv/+Cn5sOvbHv/xjlGWjNGo5xLEwIDhXkeWa7/r3R
MYwbgObeAUnkyn1T9brMTVahujNn952AlEnY5r0wNpDW7m7C5iEpgTd+QgwYT/ewcEB9/E4uHPjU
ZhQ7km1Jjksv0fw9t33frkGPRXAAvDz7DDSMBmkEmGEbaCxldRy/HzA8FRQrUYB+ufohJF7k2xhd
6qTeh4c2TuInAkJhG7R75gMbM/CwZwL0xyUIKkF4DStqb/E+zodLyNdlsZcgdpGcxzWXCJicfLJL
/BEKYUGGA/3Gl2cDShKQk0/YO0q+HPo06C85m/RBMQfSoC9X7xEhIwWoapGkU/VxPSLzqW942Igd
qN5erq5ln4Aheda3xCD7YDrKywW8v0GHTnMv6zMoecVVd3PYBqWyYcw+RKyWgQfjPeXssfSHPaQG
bAW8YmdMxI5fnc6hSPXfFvNvseL/xmPqA8sEo2QXwiKaCcu7d2OS9PZOqnWcrniIWXIFl56YLyPX
+/AYHXgVPJq0HbuvJKHsagVx9ymLwEWeu8qC/uCIlHrX9ZB0OnfjeMib8ELlvg3VIe21N7hzz5a3
+3faMfZmNe3ycICq90oru2EJkFQ0p7iTzD03CeZbPqgbkcRzLzMDpUKbMof/Om3nJgby86k1TeTA
Bsxm+ZaSaliDEknIcL+0F+AaoX6FgeSirpL2ac1V/kigwxN2wVIfEjdEig+ojqqS7PHfgowg4azf
//fn/MXd5EPi8NY8ukhsqqQOOFsNrm9Qbr7GdHGzuZ+ZinfxWRt1tZt3VY4GZBr3E4TLtkt+APVw
2fBCqO9FLnTzNewv8a5BkKhzwVauyshEomBq01dndP05bHXy8gs3R2XxRqSqXAfWQK/GfVla8to5
3XKMn52TF4WTuJZWTVaVAhzdn4CqZu/A97v/ubdJ9Epx8Fc/4UXjuMrTmoA+uZh3qsSlWcZpBNHr
hGL7vdww0fbKo/oXn9xHzQGeABp8UPMXtVyUAkXsngAdFulCdi4jZyC6w6pKUPN7+UVqqJZ01aRx
aD2JAHQTXxCIAnOq1HPoCIQjKAT0qkzQjoOI6HWhycf/tqRffAkfRJdC4SRzmMG9qBraMve5nvl1
yHL0/UW96jgIXUDT26//8ETkWBtk8WkEmg5w+2HWvf49H6Ej8t9/wy+ixr+SSz+sPh/5KOUxtWWa
8uUKzHV2Aod72GOFpp4nrxKlSGqTppQsY1ezHh00WmTQO46mniPHwiRap7q6JKt8iCtIqg4i8Mw9
NwYfvp6HBUs7x4oqH6+dJGXYgXvue4CpTM65qi5Kkjcpj96MUNAIWtrH0AFWeCPChUSgabfxoZ3n
pYw4/RS2uOekFU+b9aARjD2p58KYiZ2OXLNr2Oqel8a5mioeR7JM5WzeAPX6ZayPMHJY6mPoapHW
0UqsLPVB9NXmS38XjzoMikp9GF107OgbdiA9h2jfeDFN9hilkHcJOxfv3t3bGDqHdMihaMvkfiVk
+2wmpcKKilR4/tkMOTQsWJ9DPnF8UhD4aqch7BL3oXRHs+91VyOR0ouVp95C2cVp/krk/UXU8pF0
K9D5DhN+cKJ5hSp2Pp2hURQYEn0onQNJz7wuRmJqqTvOfW2G8QQm/jwMkAZC6pcBPYe2JYOcVo5B
q8GRU6ar6c2wKxk2B0l9NJ2FiGufjhRM+ZtD2/MDUACvBJh/S7U/SW98LB0TDgKE4H0vkyOi65tY
dhwDRjXINp/BlDSUkueQfkjHFXrBAtU1aLssiq+gsDTiuI42j0dIRUFi4M8u5WQtqwzCPUEVeOoz
/Oh8gXZPxudCpvt05dUCmt9IhfXVqA+8oRuhTqtlLugGeR1Mxz9jpHJ/5Vx/Yc4+wY/dRtDkpMdc
HGniTgoacWeIgT8HhRBGXpobV1ZEN9mYwkFgGgrskHyfmrD5Icq8izJypoNqH7VFDcT8Jd+a5hwT
jG+Fbd27Kx2gz5VcEUxTQ77NHf3UNSRspBKKNy+PpenwYh8Mg05wPEE70ZCqqCpAZ4J27kNC92hM
QAKz3MpJ01LfSxpntmhmNfeXsB/wssJeygVimU162adG4LY8WtufGy4S+j3sB262+kNiOC3KuhUi
M4UdGlN0GdsuJmdBbQ/qY0LxfuDU0M4WyY2EbuMjaANYGgT2pz4k1KQrm6sFi68W3N56ZuNp0CQM
cEp9QChrLKgZbG8L0iYGysRJCwEe/S3s0D2DH6BJGse0gm4aabpTFkWYJtxZHJZk+YjQGsDnmEV0
KQbAvE6DmuonndLlt6C9+wx0bDOGJmJciihHC44pCAjJg4cdjE9AJ6ctGYAKWAowmpL3fberbyJ2
aVhO7qNBHW+2cbEIkX0v9BnM5qAnYtVrFDy/eCb6LF86USNRA82uotJ8fd/YTnbXQxA9XdlkcAsG
nb8PpqpWWrGkRUDjJIsuK+H1ud9tGJiK+nxfpqnSBTIvCPR1Ly8ZkFSQ2z7+Ctu6F8xUiy8APONU
mN0c0Iob2wvkycNijQ+myg2Ll47zqViVXa9dk5ETGIZdWLChXgZ9dHhuuGmbiqVx+prM6rNLWh74
Sb2rG0rozA2o9RQma9Jzp3cI1sspDPaPrv7LCN+n0HBKs8oUURdN59aZHiI/RxhzEyagX65eMQj1
QpnHFHIZm7PjnT5noJYPu/58DJhNoDxlpxoCy23vnl1s9t/auH+N6/12x/0kzfVRYBXdtsQCrFzw
KcE8yi3GG+hSn4KsnXhvXSjcoFx95PmVRSidr9H3QffPYUvfank/XNoK6tkVJC3SK3i+IKa8OgD8
IDM9/x62vOeniR7o4OIpv3LT9cCwtrtoHkWi+yzMV30EmJkzi8TJ5NccMnrQa33QceDlRzxHBRHX
uBwES3cMqfAND9GHARKpj/yCgAL0vtIxv7ob9ZHaEnZmTbYFmovnpm2sm8UdA/TzVHXXT+Z9LMLY
BKnP9BVzgIpo17GLAPyh7aNH1ssPQabyfyBfoBGCYDqkdwmUhpOSGY2562br7Oew9b1yVG8SqOXa
Ib2yIdnBcc5m9nAb1XuNT/DmjD8JAT6eS0bKsGyrxLUz0Xy3VOvaPc1pXNcF5lTT6r7u3Na8XVz1
//C4/vd18LMf9dw3PUjVr+2o8VLYN2imJVpqYgql4HX62lS70qdx6KAgc+rpiLt9b4+pT+8HbUQD
/cQEisoQqHRqPe6b6oiqPynk2kzZx4C0qhNtD7dt0DaezPioRJKZt+tcbYm43yMGxbkThF/rCELS
NJdQfpygAI5H0SDw6U48H4f6TzM1kEKFAmEqu3vqFOieLwce9Gl9OcZ1m87qoO3+CRRy2ypPHEqg
ajj1h9whiZrkNhLslB/gbld3iVEC3PQdapZLd8JcgbbY4JwO/WdDOuSObdpm/3Smwz9PdmTrRQDu
C3FQnJA6r+tGZOkOu0N1ScV07v8cULRNoUE4JXECecQMWsxfe8lU/r2rLbR3MMjphqk7ge2rPX6/
gfTujOugodiDNGo+b5AFTdQlxeBkVTi0bEgRQb50PlcZLC0/Q5nx4N2FrI7HkFNcRX6V3LoOc2Hj
cNyBxr8/p8Ks4m0bW5ldYkk3em5SMSILy7rsknUgwD3tYy3GHvjNdmhq6C/iiZWeUSHZIfq8TGM/
paeMCIh0j6ssK5YibUQsEZ19wNcaGkiWZsjsTnkS6e5iu578MS6dgL6129PvVrqDXs00cPXkJpKJ
35qRpOkTXaD4+uiqJrP1RTvMqLBrvtkEjAhOpFa/xYRGhu9lJGQ5+3Mdu7y21xisxsjGunhw6u4Q
dN++jVknh/o8rCgG36eYQMqfkz3d5+OsewYlsTqLbjSQ2uoeaqqxhopsDQad1EJt98C3HIZ7wlFI
I/dC9VlzUkLlV6Ga/jyIfesghc4hUQvF2OFY5zexnVWxTYhRT2KobfsMAeO6z2AOA7HXlvJ5h5Bx
wwhYYptDX1DjaLKv2UL74U0OAdHp2vDYQl1yMwuK+ac84ylBBrUslNJzziltP0A+fRJXEKyo/U1P
tgRV7XgBt5pDm3lZa8xuxccsFiA5BUjWYm2/ER1hZmZaU2Y+pbxLsktTzbz9hjpIpuE0UB9cL3PL
h/lJ2bgWz4Bnjd21hVIrueRDPPAHxyOiHpNmU+4v2evBYmJmigb2NMJpm6I3zUHuocXcjl+aCDqg
BOFNQQb3lHYsN0/xsqjkG2urKjtOVZ13dblBvpE/xJNkw+/tJg5+Bud9jGn0eqNJDmpnLvT3atlq
Be3HUWXfOBWj+YLpctec0V3C3YVRieF4C1TfnOF/HiL2fYD6uINiqDmOZ0haJ8nZNPCk7y2Dmd/V
CkqiSx7X15iMWfsum2wqIJIsTfNxVM3u3m+YkSAROtHgDYAAI5iIxf28LX3/j0LnpnnTipEe5TC0
uiqhG51Mb+yYpwTKn5SRr5kgLP8r2VT1hBHy6AFtJPcd0yHdqd14falBEBRddumy7QEiD6u7A3kQ
/V3nkuUXozHp+CE9Goh7JnUlk/ttkPYoorFp9zsou8aihMK4ir/EolLVx2bMIbJtjiUCJ2Ib5zPm
UDoBIb/VzXx6O8duie+pEUZ/hrJGNbyzPE+ba9yoIb0se7sidm48m6BwffTJ9HbMV/FdgxOgP1eo
0mzvmj2eEEqaYd8KwYdlqi8xulXrG9WC4Pha1dZgQgWy2PVzk805u++MMeK0VNEkvjVN3ppz3c9q
aU9Zn1QxxIGg83s/625eLstG4ugCqVwCOVztNvMVAvTYwYXHdQI6wx27kFE9T5ABjea+6G+UPJAE
Rvh+GjcMphXcTNsf0BndBBTPamg8niEFId4iXar/ruDCKQQyG9KdRbfx4csxQp8RBEddB8qzE1XO
yfttwZTs8wF9uqk6NeOS7oj3zmzDcGoXXNPbCRXvdf6+2ZXy36CRMeFCUGCryT9qrHL7kGaxUwER
R3Q6i34jHT9h9rPnpc6TXBXrCgHQ41Qn0Ld/s+1zjQrmDumn/A7i5MgRMcnWNPczhM+iE8TOZfRJ
cDWRC0TGbXSZ4zXJL+nhXPvbFDva3q2L2/LSdkNUXcaNVMcjhfLc+ziZW/kJVWRyqJPUesmvYI2v
l4dc4QXzdKAKkV2ZkrjvlqriI3DerNkfuzpu1XlwU7KcmZnSCHMLE7SsN0zPuTn5uMSqwzBGz5bl
vdzjlNwNaBm3TwOY7qBPvh4MCjfgFT+N25Qn9wnN5+Udn8eo/5PIPdOPQtMZNtY3nW7+ojpzsIQO
lG1zMdSZhNKwc3tb8E6x+bNQa1M9zLVs6T2GaIV+aycCUawC4UiLC7SMaPW3A1UyOM3npuV38yDr
GthmDDHBRjLwKD007XKYO9N2FJhhAgxxXMwGqoendTn+h7MrW5IUx7K/MlbPQw9ISEJmU/0A+Br7
npkvWGRmJCA2gQRCfP0cr+5ZKm2qZqys6iUyIjzcQUj3nnuWnjzhbyavS1TZ9UsL03ho0iWphjgb
Yb9YZgH2pyJbC70+KcItPSZSQ+vC+h5k1W6ZkiDzerZIeZsGt0JAsogow0Ahqe7xdhm7W50v62PQ
kxiTo7pogvm567ahP4O6W22oivpt/YZTwyBi3dRhGD1cJjU0zGg1iu1mC2XcGezEmy9OicKth9Es
RyLYtcOGPN4h/cJMp9BW0h5XyyWyyLEZVPAEKHEZjUmtxFOOvGRabnOZjTVCpB+oXJEQjaSxhO9F
3GF/Sxvq1HQXWiTovm+T0bFKERy7spOHKGq9jbH6q0/KrMiIwYekQ3HXABp3j0mDi3jeiJrWHDHz
zB5x/ge6xMUliIN3mxCuRPFkhw03cyqX/eKaoHsRkUeg8oJrtpxHBQbenVrqqs5iVQ3m06oFYZ87
InzSIYkZRtUaV4q25fcenqnhPVzrY/k+wHml+TK2Y3PJXochIs06RZQ4dsIaJLY3VZjwIR2DGeHV
aYtg+Uu1B8tYHrBF5AYmDQOysBsRfIWrvI+zEIe6Om3z2DyLGet714Su5Vm9bpi/dKKP3xgBLyKj
PilUhl40FggpHMR8IK1gfEnpGnbjra7GCpLjCPadey1VO9zQTiM1O+VQYL2rYbTrnkV1vNxFfTjB
fxdzVvkcJ72r9kuLpJz7kVT0U2KQ8pKbuAAUkNSB5be+14XYh5Ny5A7zJ9o/to0w21Wk+nHAhhnj
2QAtHkS15NDARHW6KbpWIqw5iePy3oP5EmQrr7vl0WxuhCAaulfiMtgYFk0mZFTru8YAY0qrrmzH
HfXQ1bZ7SNSiXVLQvs+nsCC4E3XVRjfxrC9Jrtxcip8EbN+qzGSyMJJ38xhGSHzfVv+mkhauSQhe
h/DvWUPcRl9Lw4drhIGj4sqqUgVZpOAK5zPs7ksqHKf2jcywPTiW3Gmc92INUaZTCHi1TT2NA3uq
8RbCh3norcgI42Pe+GruD82KR/0zCye37Ilo2gjJJBMsz6K4pklOWzAxU0OjbS9xGDmbTqxQ5nYG
dUr2Wcc70V43pvB3ib8EoG7TRq9MkjThLkGCzYpjFCVHPm0xtn3XLkF5anjP7PPcFtHy2E9zlAGW
HskX3xZuyQpXxUeUawiybKCiGTB1S6dVVcfKahhrxNBV47ClSOi2UqcDwpB4bqeQHEvUA2+uE/Sq
hJVSl3KpRpNVEeElPFs1SYchVvycuNJ/j6H+UTcEj0532JTZ5M0YkOk+dLB4RQtE7XXJE7Khdori
6X4JNJjkdhUZh4z8BhA6xNrIE6VwI4eS98ZPCXkZXFDuGqJ4k3bdaq+WppV3pYODft5gGWdsnZHk
XRX1MY5jeT3z0p/LaG2/+HJRT5K2U1aH/KFlU/fCFMLn0zLUBrSTuW2aMV3DWjqTlqh2/d4j3s0f
EVZdvvJo1WerfCJzLGeeddu8rft+UuzsQV+MX1yQiKeydWAt5MT2IjgWnVhcmxZYuQlk8r4Kv9e2
8PaFMc59utTdmoDKGS3O5/XFD+DU+nWDbUoyRV4jWXccDUEfU9NB5SVfouC8RDEEzZBPu/A8VVEh
b02wGrtfoPMPXzfeEp5JHy/2ao41K7+gcu3GHbMkIEdd6zq+VuvSIn+17Jc2dZGeklc6tzq8G+lM
9Q42Db6HJYHh1Qnp67L9HFTIElYZ8zWr89CoyqYzq1GKSjuLOpta1CguLWhAaZt65uf625owOl4v
67BsXxFK5VAOVTZhWN0tni2mUwXBkNrBRacghylpa/WwRuj9d0Mf025vBfadHB1NKU7jhX63G0VH
6B1ENYpdgT9LozySK5OnCLKp9UcNfUB3Nxub6DDzslyqsxkNDXkKQ5EEE6lNkdY/oDUWBF0wKJvb
lTGtwb5Q9cJFN7rDI/nUoFl1nxvWyFOMvG00yJ0TnyNDm+BLh5kW2uR1YEgpBAhdZVgdKJbSYl6w
u5tpXvOlK6fkjUPTb18Th739kzGjJCpnYgxwXhU9C5Yn7jaFUPiAEEFTa4upy2RBW3JrtmT1P2LI
/dvvUw012y5RiPp79G21ShgOsGG6R8Yza9Zdv8Dd9SDrgAz3HE8ZdsSQTmOC7alaBcDCqod8/6ho
WLkjbaom7PJ4m1ACpC3nvIQN/ID+AxWfGjO/6EstghgX6x6UnabSHWRTNtNra4JhQaJ8YOXJGDkz
3LFNuikfSbsuXxrJoEXiVSPNF+uacdnrMuyCTDZzdFWPZcGzEbNHe+2VikvcElFDDGiAsmeTXkYU
pSOHnczrvMElF0YAY3E9lGQ8uGJNHkdKvEV1wLZN3/m2bdMJeZqIuo/LmSJfLFHD3ruE+axEBOl8
2qhBg1bJWaTGuiHQqZ2tMw8icqL6sSDaJNltDULsc+4u52paGmRMHAuU2dc1rLmw6mjU0XOhkGl6
pUs/vMkEFyGn1sZRm4Y1psyvpt1UgCrVh8Fh3bCuD6gDInG2OALUu3O0PqAFiOTnARbnosqYLMP6
US+sqmAJHXW8nlMsMkazBLuqRzcXQDi3iSqqbxPlwi2b8MC/NBHrdm1R8x6PWjGfhxAIxg3wCsru
k37lzdktk/wKJOYTSg9LOCJVOCjgAzJiyGNPyuIL/CxUnZcdNsVaTc2NtSEqsw0GI+7UiqTK9OYR
OAIGfXisxUTbm9FS095MxWyuZq0H9Y7MZvsRjI0x+ToHuI3xKl6bOb4Md5oEZ/sau1eOWsLm5Tai
Vgevya5p60S3h1hZ8lRpV6I2AG1hQdhdsgKvxU5ogO9YdetA6EdEYnJBeiD8nl4bFGMpYWCgnwCl
S3NNx2QM7qkAiQ+kINGXy2nhZWlb3JTZhwaK7kLVuzWkiRI7lfD6oRyRDb+LIBQYf6wLaZYsqIBc
fYHdARJkJ5aYeNdXxBMszZo8TTX6kYPvlUmJwgaq02WekGJXkrn6lrDOkFfq5mrJfGcidDsibpc1
VUvSBp/rOiq+JpfS5JisUJm/eK4/bNPaGOWuHCMUs13czEeJTJAkk3zqPgaGRzZNENmRIRYkjHet
jJPfwL+GbrgIPtnB37KI0cogVH2/EuHEJ10GEvrjWhZABgPZwRnJaFhx5ChKOndmfBi+te1KI+xz
caX6Vzi1SZWRqXL0qGzsv6N1LrerqSXFR1e1m2SI5PYLue4qF48vQRFy9hEhMoN9R2tZARlRJbuW
w9Rg7wgrn5EyGt39JAuhITXCbCkueRne1wHnQLNReoRXzMFQdC+XiZN8tVtIdwtfzJK23bw+wRM5
it/0JJeHIIjNW1KI6AXjdrsdhgJ6i2MwoDFe225ddjxOYOi7qUW/4Zo3V33UgNbGFTKx4XESD6eh
knLMmO47l+qgaD5BqbumI4NORuvY8atp1cG94G694XKrkv1QwGJk1zK/HkbEShwi3YanGDnG2PN6
al4rWTJ/p8sB6uFlgd9Pysa5sE9uhsXrF3hwoDkz3sXVJ0DDVKR88bgOxCmFbUHSiA6oOAT0x0lo
X6qVo0ikgBLKElWGYgHsYcUW5BNo8GzHkhK4iUPiOXJKxLTVB6JD/Qr7ddU8kmSACHxFAsNjjTeS
0nqJ9Jxh2/bWpROwMXqnm0rEGdV4Oy/DULhhr8ZCVRmJhXZfL1zX09C3XXe1CrG1+BtNYB6bKHbt
HS2FQ8Hma7pPEh0MR1AohXsAFN3vsE30/X5iTJmcVEsbgS6H5Nbd4EJsIvCBOeNeAI4oNBs02m0H
0vLivX00QaWWrGdz1J6DYOm2A+zHtu8BQ2xS2iIa8qrchhWPT5HgcjQu3DUynrNxtO5MhwgFZ1X3
V15X7BHs5REKAfg7AueAUQONRfEp2EAn3ydQyPgX4EzrgoPIhNF3m0wlEcjAaTbAA6addX/qMaGo
v1TbaLoMdwqC96SpUJljx2yXLqvGQsO/HOZF8gYWaYnIpON6Pq1DPCKgHrnZyC4tFp7UacBge7h3
kl4ewkAtZYl0xREdEzafJlebke5kIcqQKRlW2+IxxrzrY8bZWZz0ZMMyX+CoHYKJ2ZE4eh1iVGj5
4uRUZSJeOLQ+lvvmteZweslD+M3Xn1oAGnHa9XNVvYTrht2jDAIenbmIOpZ1krQkH4CGLdnQL4C2
Uujy1jJX0HGFd7Eep+QBgSD1knq4QOvd7As2pJ5sMSoYqSP7LZiQqpAySD3kA7JsFnGovHbiG8eH
cm8GBSq/ZiZqRRa3oiH3belCmCZrNAVVbbru0UPA3+yJMmHnUwax/QIAs+q3Eo26BeSARb2iKESu
eTEijFqa4qYawno7RXG49jdSA6dNuaYOfum6mj5CRuvqlmxFDypIETb9cU6WgNxDoiY4nqmJbg7z
n97rPfIb3bQHuUh3GaYqbP7au84ECEjcbHIKWsApn8K2u9whjsYnjyapFXR/aMC62xn4YZNBX2HN
nMJzKCJXIScMzSWzQX+swbNYvjripckLzgt7cNivXT4xrZtdS2ky5gSJNLZJx6nz1R7dYCuvihj2
ayBftpd4MKSlDbmqarmeCxuKJINOpJQshxNDiAeqLjrMszEKHcozX1a6oWaxOj4CJBgwrR9R26XA
YaMmhTZvU/mIZdDu43WOxg9Rs6YN0DtEsaVIooeJyQ/ddC30XA0mZBaHaYc6Mc6CdpIHTjTx66mJ
Epq8wjO6s9cOrf2q8cHrWMWoQVY63DFRt+tbgE8jg7SKLB3m/cXNGg3pkmxLfDtfOuirIhiaFcUX
+LIwmPJFWd75LjJoVqaZcjzgcQPMSmSYtTB0q6HpZP+t9uiuQafyogs/JrsEI4oBwdAwDRZy2wVp
NcN0NnKYkzuGzaNEqZio7XtTYRrxRSk3NPu4jPvA4epq2iMsmU/1Q4xyH88ykSJme43SaPyodMxc
ktpIwq3ZiXhOniPgczXiX4D/269yiufmVQfzENwPJQY+D8ulUYVjgU9akollhK8xZHN6ak9Vh7kX
Fkms6X4SaHz4DjmK83gFUWrJXLZhhjSg060nUYs8ZNwmV05jknSN6jrh1yiLYvPUt6qZzqKkbjgF
M8LMv9AwLMKMX2q2/Tx0wZy2grjgeghh8PQQzGauscfBhj6TqIz7nZ+7ZLqtjYXQpWOhWJ63Fiyy
LAkNhjw1bXtYzExlYL8l3OjimTqDzb9HvoFatnOwIV8bJSt8DduT0yX1qKeQQZ1FYrXz0Q+9pMcJ
KLs7tA3fwlegioyd6waTwEyHHQgAO0g3wynJsTY3YFsXRC3YjxMhc0Z5p4IUz9wN18bHmDUy2GPs
wwjU6nFfBxHmPbzHiMenLSLWktSPq2b5VAkWH+06y+2o4zUIe1i6ETdLYHolstKGWUbqmkWTMa/M
wFX9Q5Tx3F2jsK3FvmXVLJ+cw2gmb8tElVAngpx6X/d9y6+Ksu2bJ5fgwlx5kjTmHM6I1LlZ8F4J
Isf9xu7VLLryvKpJNi9o9OpiycIZ1fKYqyHpAFvH8Girw2zGw6yDDN4f3Oscc0CRyH0DavDFwlh8
hoNhaKJMShhgdrsOoyAzn1CATbiwVig93eOc7gE8g4yDURpqN+mfKC47xFWSVc32gulJse4XPMl7
uW3iGk00D65IUEgUdjyEex25jPEScggV5/rQKDGy660dIHKNiB/sZ1fPEqYVzQzrkL0t9eqrNHKc
Ccw4CUhX4WiSJeMANsyXboFl/f0A2wVD9her1wiYxsqQvp5Mm1xUJjvnmtx30yVRzhp+y6Yi7k8x
xOXuOPZ6pnm5eN1fEwOfGkCkIeatg5/EvK8B4kdpYKIo2GNGaeu8TUqJtlOPRqNCol1N31eBmPer
YivV+ghLhtgCe6+KaftOe0bLr7oZwvYUUkgdTyFQ3/EGAu3JPrewpEZt07N4vY7iwPgffmRKX3tf
BgYA30qSbJMoR1LgyzNmK7UxIPuNNr6Zw864zHoEh54mvAWVzxshTQZuPMfMPI4vjMYl2UuQSW/b
BcnAL6FrSnMz2S3qzwKxd9vlbosCWgdpPaLbjYjVV8B8Ac0VSwJtYNaKfiYzPVZ7t0Nl3eCAxEZ6
afPdpN2dDKaFZj4IogkPSzJOkEtodrmCUgOuQiUxMXlnxNIGUHbXov4+X87H72KGUh32Bqw8jYP0
URpiv2uf6DQRi2evZN1oU50YCP0BMSEoSlRhHeaUsAD0GlqOxS2phHV7bKPwQlzavl4+rFr1ej1s
omNv0zrzGM3LqOaz92Jb3xLR6eXu4uFIj6abi7SD2c2YohotL2C5XhecuRhg3ifeS3E2FZQGtxiU
dPBgQG28AdoaG6BWDMGVMbPvEK6OSQphEXG7lesGqN00Vo+gSUSoiBaEMj8qMBtxLiJjA96NckkK
+Sp0KEHu7UPMs5ZDX0zjYNMaer84HRLwCGiG2fc0fwBIKgHeArAJ7TvQiq0OUm5RvqqUYZe1wBDb
AWqPFCb16Dv3K+ShCAfq15hXn6Gw9vOUzg4hNuOhWyyrVeZG+IejDg35yqJ8ohWoHPm/msnCnjdg
yQGTKmqzEIwgkwaJHYsMRsn0heK3g6vFVaU+yeqC/ZZov1d92TPj4m4gZtoBLdhm8FqDIjj9azGv
4epN3B5h1L2uecjVMKebr9gdBlb9nPMC4u+/xmD62VmI+7jvht60u1B+UvEzX/4an/lnQyHW0gXj
GrwurR8TgBY1+4sSmp/thAYYHsqiFmKPYzIEiCSX8MZgtzbHP2cv/YFhFUYGvyfqAQojFow0TCYC
PH9jNdT2qnPBABtBM2kATmRRiAUQciT3qwF0iwZLBWE2BCvu05+/iQur6H9jG/1ELCsxolnrYBL7
AWmmbV5DR3AD8uCYoV7D+BGzuOT053/pj8hUP3FBp9FgqYFTvIchwCierB+KOdcl6tzc4WSCOykc
SVpUpavv/48r/AcUzp/diRT4YThNCNvzBJkcFrYzuxFY8//xgf7o1X9in2kk+hlRSQbmSPe1maJX
l+jir0lHwp/ooSjTx06XBdt7xH6k1eRP9dzSv/jiPzHMbBTZfpg52wOD3mGQWqdFBOTxz2/zH12V
n+ihxbrUlsma78swMDjTlyKNKpz+f+3VL3/1f3BbSaMp2EG4LmTr4M1rJVImt+Hpz1/8D1ZoSH//
4nyKOqdXheVSCUm+G2BKLgu5J8gVSkinUz2DjX2EroTpvxTPR392hKmS0gnYCLE94lDZWzxO5lZF
gFf//AP9trn+L0/3z34wQnkKWKiM910iKyDQsvcOwxX89+Ejy19jVN74lz6Oen6otXpWW/0cYaWx
Y2HquUKvUlY7pDN+XxeK6ObUCpRk/3h3//Y7k1Dz93/H198GjWa/rOxPX/79eejw/79ffue/fub3
v/H3w8dw+959mJ9/6He/g9f959/N3+37777YoS63/mH+mPzjh5lb+9vrlx/D5Sf/v9/8l4/fXuXZ
649ff3n/3tV9jqZnqr/ZX/75rdP3X3+JgBsmJL7sN//2P//KP3/k8jF+/eVcvU9N9d5//4Pf/Hg3
9tdfEvE3yRK4JQopkxChJdhl3Mdv36F/A6Eeo0JKmfzNEaBH+mn16y+E/Y0kIsEvxDRBqs+FWWqG
+bdvRX8DeQpGukywBN0gj3/5z/d3/4/18o8bg6vyz6//pZ+7+6Hurfn1F/Gb3+B/rysBngBNKIEe
CS+HyIOfBSFhF6qyCPx26CLMcbJ2DocLxzOi1c7MbJZZyAr+ZkoftrmZeG13GqGwS1Z6mNLlxhB0
DYUelydgOhKaUWbZ3rZBdwPk2u4jV9nHAaVR2keDyxTrNplq39bHC4KC+E3e5WDauaOTM3c3niVu
veZDOGFOMvT1HUMSm0zBCKvQCCBluLqahDBkB6pE+xj3lnnM1733GRMbJTv4PPfyMIgK6tVB1Q5D
jpKBfJIolRxD2bPl2CyFelxmNh5HTCyaPFr7T6wfVpnNRTR/x4eLsiYxYN1zWB48CzBZMPINirZI
XRcVB8fgnZMFjrshdX1H9yzmS7mfKDwd9/Xm4gHB4kV9W9sIIFdTjXGXl0Jv4Zk0BW3Swq3Ae1TS
FOKoRETDY7zBXmtXTHEN3JA7vmZ11QdfhrmQEoo3X18DZ1bvYzfX14aEcZhOA+DIK/SBSAdLWvgL
ZR0VE8+baTIiHZBm9al0w/wZHofwfuSzHT7IFtAfVSwuUbBW6+tiq/3N6hZTptjrzZjORnqAb3oF
pzcg7j7YguVB0amDzU8VqKxRVdnu/OiCT2aMPWwsRm6GQzwafh8QVgC3jtEyp5uBWiEDmtg+D7Rd
PHiYITxm442DPmPaJPrBUZW3wCCj9vMmLC32qO0lwxRmU4e6hkE5mj3AnakSzYbhDuYrV6Bn6H2k
+yUnkxnvNcyl7itYpRypHcbHSiXh7bjWLMD0V3UubxlLdg3r9HuIhuU2XBSdMz9iNDNo0ZzhX08w
DWh0Jld4EgGgXDRq5t7DvXEc9gOL/L4qm/VN+AJk0bKXR8Ma87rqoX6LpUKrRtFxAzlJkk8d2oOn
aECkX19yk8Z2XbImku5ORQlAvoaB2AOXlxt0XHKP0bg8CDAK8yJyMC7EXDmfY0ykS4O35ED23UGE
sN0EM3jEA3zXzzjohyPpKhDYYBd4YGHVvU5RrLMhoS+cxl0KxHHFsaDTcblaCB4DkDVqn05owR/l
wuiprvBJQZlK8hrKnauxmMK8sLV/0SW4RXye1zO1aCIrsS3ZiGAPn3I/ySyCamlJG1KU9xGLtgdK
lgt4o9Y7rHUK7qLCsKIaWP8jcbF9mAtNcjWz6Gkr3fYadBM/Yhzo5d4p5EqDIKT7V0T6krd4UPq1
Gez8Y64m9SoidsLkdD7GDV5bheDbZeBI8ntPuvHzSDrz0Hdx9O4kgGdwWoV8IvUcZn2F6JpMdaAM
oAGGbzpo9FTtHPVbDstw8o5xuPWY5Jj4hZCxvEPqZZNPbum+rjBdBdOV8i+qCsyu6qDbzhcwRR/h
JFUcvQbVtO6G9rswBeh8wxjCZM8GGOYo0W+YzYRK/yA1xraXhfBMN7H9qIRzOk9c2L5sYygefLfe
i6EOlnStLDjRgkUOnzMYl7wlSfSZUhTLhzlee5bLti1uKRVon7FHPBYYzmOe1qwDRkKrf4PRbmuR
1BcOR1ihg8qnaEF/NNOwKdx5OlZAPgl/nuHHS7IZ9PGLRUP5CMvN/p1PMZ7+Ze7RWCe6vQ9rDHIz
LXt00IiduGaktCDvbPW2X7WV8PwH+SWuCzh+JyGYQBxrYJr8uC9jEtoUI8TpvIVs1PnUTjzK4cu2
HVufsHHXg4l0n0QUiYhDg4dEcxaDg2qJeSxJOx7qYa0GUFNm8wSLjXrHOR1PoZL8ivK2eCzbOP4M
g4bm3Idb8SVw5inU3XqtytnRVIewEpMTb7rj4DDHW8xGOnBDyvnUrBPxGDiDbR1Fnl7zJrE3oMaB
Zo9ZcXXXsFXeSsJAwFZbANBsaOPtwXFTuiOprX0qwrp9rpDd/oWowO1AUhXQBoBmBZTdncFE5tct
WTqgmTNMm4MZQuqmWRF83Xt/XIaVnRs1QXsHWmwP3Ubo6mBnjeXBHpHqNcscl+MNHgXywiszYJKs
yitiF372sujeV1A53gOI7w+jDPGeHaXT98haqL+GmjwvmGvvtgstP4HY4bqcJv2tLEr3jkEEMKWS
MpvAgbAZ0fdDunEE/ggstbatGNOo/1EYTFvTS7VxxKSd7kG7CnxOAIeebAE/OOUauh/GyxX1mJqA
hcaGPYRKUJ5US/MQwBmOZ1MI2cMeIRw4bxMtx1tZYXsBYAvifFq5xb0HtC0wOeoIWNjWzz9g+t3N
d1EzVw3WXdwsOD1Ff1NgVLDv59o/YOChcLJPZnroB9HJDLFOJkWKAIaQDbDr636BXATrnze3xmD8
IyD0P1fMgK8RU0W+AyAtAJ6Q2YUZdBH1lWTeyT0hS/jCEfnxijO7AYkIjOQ2FbDb+wKSDLtq2wT8
Fs7ki6wmDvh6guA+GRR0Hw2Zg6u2LrbwVC+mf6b9SE06WqOutjEI46uq9/Rt0AB18pVNp9oAS02Z
6YfzYtx4ZQdBHtcwIedYVs2+MCEIfknZptuwufutN7ggEptuGghr3y5KnB9oq5Dp4yZ+aO3Yn0DU
aTEEBANCFmN8DfIEAWoIxtSbxdB9ThGBiXKIlZgQnRDezW/qqqpv22Js3gYZ8RsUbGN8KMZ+HmFq
KttrCTrLZ7nVK5he/FMYt/rgebPmJIixnMt4y+Wk4+dA0eYEeUoLph/V5oJYGPGiuJ37nQYX/1Bh
VPS5L0P3SrB1gmVFJn0lQUfZAcIKQxAeyXoka1udeT3MJw8W8I7YkSM/CzjuTCsk0CgFGgkERV88
8aNKaxiEZS0VzecE4ieLkRpNjlMRJrfUg46Vj1G4fBTMyN0MveyEwmgX6ssEhpr3vtbJ0Tks/xm+
JFdgkz/HHimSTi5PkcCAf8IM/rDE8GxIxZJgx1ILCw/gzYPCPrRl+1RjmbyNAM9ATIbooHaYMO8i
OGY/EkDY63kGe0Zlw6xtuespiT+Byu2/apGANOexqwMdbiV2ddUVZj7Cqa+48LZQ6IRlK0yG2wzP
lmJmBtu2bj/XI3e4iHLBFJXg+DwUikTZVs3NvfJweUkx3CzyAdjuPR/q5zYsxX1Zx8UzBv0iyKDX
pKc5dnOOFJa1wGY4BB+adeGzbRSoGDBEwsihnNCxVzG0xQt9dgiqwSXfI3w01Z1hN6YLw+sudPEO
Ch0K1j1GaQJM9FMXYW4iMPK9N4nVOUbDt6Kro1sQ0AsMJkP3UIxDfd1sbbRHrE5QZTbCGZu6Aia6
mRidyJdiIPu5k+o2gibgGsiHa3YBsse6I4L47M20oVgEz4DxV7awFkIYO1Q0J74P+NWIAvEVIcMc
PNU1Ll9H7HU4wTx7RE4BwG86o0rcR2PfLsgWSTBXZJjVvSjMGm5B6a7uS2EDjqfCe4pNbN3OgCzG
T4ZH/CVpuQfrXhQYU/YLB4FlYA/Y7JCp0I1h9RkPcLj/D/bOZDlyZdmuv6IfwDV0EQCGSiB7JpM9
WTWBsciqQBvo26/XynOPTPdd0zPTG2ggM83KzmEVyUxkhPv2tbc7y6QpoQ2n5DYt9DMCtrrUuWg5
UfsKt89a+yebX/xPIMeyj5JJeXC31JtHhsWMUIqVMVnoen1nHuqyt3esJuqSQ1kwZOTUXCwjGjoR
Y+MpbHS51Sx5l3qlnNAdOi/der7D9mPoWuPzRrE8axWjTffU7BEG3fK6esXwo/JuwyN2a+rLAGHQ
uFB1YQdBxyJMAo2vPhaBH10+06ElbpaVV7BkE6Nd0xQiEomLfB3AQMyRNc5THJo66ZwDqXpM2yoe
5UM82sF7jI0s3uCjCspNjo8RrHxouupkMCpkP5G+cUyEB713HXjXvpemf0Z9gP7PbJW+Vgb8/mNZ
tcuwc7PK/dOxjKja103ZLrvY7D1GFJ6vesZtPBzX3nFpOYoCpHfjJ9bKpVew2Mj2lyc+M5j/WAw9
w5qv1Bqc/uc+GQ8tZrkzaKv7zrEkniQbJsDe4uCsx6V/npe8y6mm1vcJwtPYkEUKC7xWWR+2CQOw
DUfSKv/viB+X9AvTXPWn/3f14z8IJv8PSSQuihm6xH8uj1w+0Uc+O069z38VSP7+e3+LI+Y/AtMO
TBN/Bpkono96/U9xxLP/IYVlYfvA5BlAcvC9/qc8Yv/DRJtBSXFswnrdW27Y3/KIJf4hLSECJAHb
lg4D4v+KPGKZwv4Pqjr/NomGLn04NIZk1cq/h0OyRdmfQZzn7dLX9niQN1R5Hm9ewjVx/6icdQVh
X3qBE83BuLYbX40NAooyrXNgeEbKIvbM3+S6E9VHubhBcD8O5u0rdGd/OY20zChdnaM3u5zHzAdJ
5yw81SYcdVlRPwpMUO+GK1L1bC5YUR6JtS06wEvCPEOS9Seqcy1jRs3F1LaQInUAt8A6r5zSCesS
zaANzhbYJTffQtKlF9KxqQfdK+sPl4kLecySuLDJh+DY5I3xZOeJYd8P9N5lhLfRhalOrSa/3kaQ
d+TtYcEVhUmpptvp1PcmnsBWoDncxyy1g0vygbHwxtgfYAOLtZ8Mcx42jWffpmIxA/wZYJ++Ym7d
7M4dHasLtd8lZWjns2qjauxc4vBVluAKwRawaxHMzAgBlzthGrM0u4Jfm4SZzlTToNh3huksarcy
ni4OBmJsfgLTG3Bn3MwWG+m5HFkL53pHe+i7j3Zv5QtEgjvAYokk6jNf4SxV9tUjK/LOav0EYlzV
PzrL+BKMb2mx5rwaGNvewtDg9/sNyru/CdwifedfQyYfVfsQMyytjqKoGV2u+PeIiTGV+5QTFKku
HOgcuWTJusGGIsTpjnpZjXk3VbKC3pamWC8u1J5xUp5Vy9CcuAsOTHOz99Zfp2E/MEkYL3E7L0Eo
0rSzaTRt8aDn2ZpCAKtO38EI4g0Hq+81ElBtHUSPfyrslhTq3HTzpD7nc8lGEPLLh3Er9KSp2Py+
j+AM7WqrVps/96PDmdyht8W7Jc9H5uhL1S20yIFtbRPy3+yNCx7w0rE1rzhks+P+qpmRv5YQWaGk
O/muutiaTzx1HOtmGS9AvW3fz5GwKuxxrTkcVdFRmDV0zdRLhj+WzEBjecoy0/lVB9YwHxILK9g2
mVU3RoDuvGPIjdUJwqseNynRiXcousljm3oPns7la9ex9ybs48Y4KnJKT/40eeamg/x/93VmPdGz
dT/XYJF0CTktG7UpfnMWNj3HLQg1N2Das2G7VZ7cWGZeNeFg1stzqp31m4Sx9UL5SGY1FsjEurYD
9/9mrnKG0bZe6/Gwmqq8BFnQ9ofZrdiQZWZj+aM31uYaZJ7ZRFBjXN4x+ZhVSJan+9IsMEYb0y7Z
s+kbPmFOea7FnduTmc5IDT8BWJShrPPARBt9R5Xupa0tLMZTUi0FGQBl+hODmz1vgQt42i1lAOPU
oCpR1SRgXb4ZvxkrntzVw2lfzpX+BkKBEoKL3KnYnd+DkY9d02W+t7cA0H4sheJzU1PpXlUl0Ozc
sjprsxhfOnbJJptiKTgLClC0FEn7oQXSbzdugA1zGKtyy8Iw3B8Z0GF5aNjN8WqVeXeGb1U/RW4n
wXbtiWJ9pEIhtcpzkjHeAzdOu8FWyS/I2mbZZKT6jBs8ygOPR9G8pCAzx3n13BQSUENJJxIpgEgn
WXzXImlPDkWgE0L1r2+DpfRXM1ZjgJPMmdWeuZ5fR2XuqdArpnHrjmq6x+VvsNTJdrLNqKpieq6J
Wv7LsD67ET5jtre0QdlAR9pxfRqxCg/7eWHwy5DKrLMod1yZh2vMsxoKoJh3Nk95Vz3aVRh4qfET
m7KnX/2sM8xoYn8XDVUeoLcZFZH7Hteg/1Ua1KkFh/4eWorHM3mHNzB/9UOB18yusq2b5u0uGJIm
SjpfUsWUpRNVVsq3JJW+OUgXZvUm/AQc+zdXawNEoV+qeXDcEG1w3Y5uEz+Vi2G+qCXnFZX25I1b
jfNu2hYUh4/mEHsARaY9YmADojLOLkbGT0khPx4Ua+vyi+vEa+grjhzQPqfc1jZQEQsD2uEhTnMF
EMcxF41qtpCmnJQFCOyz5EnEhwl+Ap0/vQbL2qycV1Yabzpe+ZTQSFc+FjM8UlgsumxCItjqOpLL
yA9iiwQ+mc2cXACrB7+Y1MB4YWJQQRxTpjUIb2Uqt5rTDHmSpaDnvE/NAw/zahwHbanjPFd1GgKi
Bt3BNlj7uesbERyg59JvOQfNux7a6tEY+xRzZZOuX7kL3bipPEEaw5wNfhXxLfoyHIcMvFS7eY72
WwR4K4CWSVGQq+1ufP/2Imh72AD5lNlDl68LBULrOJ9s4eOi87WuX5bK7y6VCVAd0XLnaMM5R2vA
gt2ACluV9zOtHoJjMr5NSxWc8kUFDiCBsT5lpUnujPKhsS55sC4v42r6RLRnOdcR1pGmPsxy8H97
k7scSkdZ9zjuoHIrY6qKDUEPU7PRECVV5I+ev7HSOYmv7pLNy8Edsjp4WHxJK2pA2V4Mpw1+SLGI
x8wmxdjJEAu8vnyinUuxV659EsXaSomjBz6O1WgcsrQwN/4w/8rqApCp5sy0zS53fkKH+Sj79uq/
9zT9f7qaDjJx5+ozN1a47qoZ86M5oxxxxtALsPvqeXGzAexoAL9b2EgRjrOdPhmN9k5W45n2fnS0
xNcpk9v8p92QjaLSsCFfYTOsKkALwnBKEypQf70YTrFZ43ZjKls+uUyh8p8wqOpOjvkUyipZD3Np
ggfWAUpXUk+OFd68evtMVeCevmX37JNV09mgxcMTK6d+q7108bZWlnr3Y2O0X2Phqm/MAMmPpFte
DIuLFYOHQuj0xpYJ0Fy7ESkT5krp4WEGbjmLWiqv1R6PDKzkr8ZIapMU88LGcpdlR8tdxN5uY//R
ZSIODJdaL4V06p/CQiy8Z9n8+Ef6np6oDXK7vMo+aYsoySZD7oS95mAefg0vZk2VdajcfP6lbBV8
T2QAjW9w/Drdy8qqvhvhmO0jTbvn3TIPveDkllC+d2lg8TIqFQzLxiUp8ttRBf7YwIXWP8Zm4ZIm
QDlHo2ZVZXDS2hmfGxOWN0pxMz9PQYc2Uc2yXJ8wij1BSOXVSbQ0qhsnmJbHxXPIDHbW5GLBqRxS
wYLsMJnbnjXlXFk9O79q2PVkrkK7ifmYUIhjr1/b5Fj6yj/pzEgPcTA5VyapyQRJNlXbfp4Hhkx1
sQ1MdjRvcmqQ79Z15lehvWTLvkQ78rB8UUVX/pth6HghKsH0+6MP3Kk/F43xdM9BG7wgl7rfA7Jo
vVFuq6/Yg5q3Ycb8nCEMWCcnXwrmbpVXhGQoWO9M4Kw3Sa123/VC7YNiVGQ6Me0o96KULnSUPSOv
LHXdECtZu19ckEXEleXnbIg0nPc+7j7ttkEwwi5JT6pAIgCvm+bdSkVtMHxNkHwwZ1FwGOmi3xo1
qBfgZZ9FPxJnoUm9+Dw1xSx8nuTG/mDqiHW/wTbw1bMxeeMaTCGtGP8SNfmnNa8yHJbkOctt62jY
Did/PwsnODXsz5EHc7XG9S63inzZlQXm5Pu0Gh1kj8nwso3hDk56sOtOrjv+VHqced5IPKylfbVL
m6HedaQUz+dh9fsXzJFahCzasJ/TDEcWQ0Gu8gRu8qldOvXEs78e1nEl4yL3ueYjvQ7DA3MpN4R+
rc/ktTs726AqSAv3tyul3cGAI1clrZ+JY5d1S/IOJJgQLmOjuW3KGsPfZnVMrJZEKT240xyxtK/e
zMxBto1M5pNZBtXWYa4VYhv6mQ9TCjferWQbJIXXBhsnEYLxYdA/TWyRYMusnX7UvLZHrec2h03W
OY4WIzAYsJLenW5NmTh56I6G8SPpyaU4ZUaN1XdwSu91ckZpRjpzLaSTdqy+zML32InLRXsPAk5z
Vnm3MKWOTbnP6TLHxa5Kg4y3UKw/0N8J8OCnkFGGy9PC+14yY3ORZPeu084/G4Y1Ju1Y7l7TxDFf
KHA5YTPSh3YwiMkpdqr5dxk3y47N0cWxtRjzHsagci80DX5M3AABvFlVOyy3pp2JKDJWL8R5ObTh
ms/zz9lekMpsaEObdzHelgW0VUi80dpvvNzJsy0fZuxgSK/jLz6+8q7DlgbeZJnc7qOr1SFOkqKO
xqTYTSZzwg12kfJqk0pB5BZrmC0A/YQ8LjpiEww4NTK6KtobGdLkriwsy+2foucCC9d+oH/FRegq
XJkFY6kY59/y2sad5R6YZQTZLkXk+mbRjTiO+HF+lCy/jJAd20Nec8yvttOmG7FIzhpiGLbIzDns
u6+yDQkNRCQt84DnrbRl99M1mviqvFHspdUmb23qF36E//Um5GeFfFzbvupOTWXHZtQFsYyJ7NFy
65dzkAF/KlYTY+WmrsG/Ml/9GlonVH0afKcAGM9Op15xl7XFRmSSqb6G+C/r1ds5Xmru8dn7p6Uj
lwOcSx8xzdYPeAjMqG6lJE1lEQWjd+ZmTy0xXxuHiB5c3TrtvrI+kf0usIO+PXg99ixa9v6bPeLj
dW4zghFK2/TyjaiU4pKeF/PT7SczKngf/mBUW5/GhAuealTeuUMiH7NaoYwm8XTBYH1WXiB6zCwg
QTgOYSdc+dUNFDy5VN4mtfV0JrEJLb0x911WUPGO0nlf1+Sbx23mNU7FZpDpd4Ed/djFThkVqc/r
nVEhz5a8d0ujPpWi4wcaq/oBBJ8LlFCdn9QU7GHi8JPPbv5p2kKQQRsLCn3tRKTR6i2ypTjm2qyf
2RFn7onTgvAKkqiqOmdvpdr7HgrDOsRm65L4kx9W7TM3lUOeRYST6l2GBv7cMi48e6tv3gwd+sxg
dPoc2jqO3DgvS1zoizkfCHEgfIBDcvpaB8mKI51bTdjFwj/1eUPRRURTVoQjk91PkUt/2a4SuH4Z
nPYAgGptc+l4+wzD6qGOF9r9sc4fMAov94xHRbsRU0GiCXBWsPGnfv29ZB3ccU4FGbKPwH9ZYIDu
FrvGAdFpl5648MOpzs3IppL/XRhzu29v0ZxcJh8NzgELvVMMl05yiPbgwFkIcCfifVkF6sBKt31T
+PleE+HBKKVG/Mhl3b9S7jYIFEtXh/NfPcdcq6gBe/jjO0lwFMyan6YlW39YhZJPuiKyDeMau88a
2126jYZVDlPBcYlysxcVHhFbscW8sOR1IDmLX2gmL8YW0Pd7m7SdnTNUcYhyL+7Ggv508Nzmg5Cw
M+koxMGYwhNPWFj7A9rx/IihFeEI9oFJp84/msIxP2KzrKNiaNv7ySGlw9WLvatvy22KjohreDj2
Gi/iIWmE3OJKSk8189+G2dLBmb17tvlModt47nkRtkUhFawMRR2G2HYv6JHH9K7tlLEduYx3MjAp
79iDfcdBlW35yPjv2mgIiVQtej7zoZR0HfWysERm3KfmOL9AbXc7dtb2PB/Y26++8ny5UZkkm6tg
xsyJC1fg6GK39Ko5rXiF7PNsZXW/RU07LnHS/TDgWl6EbHqDXmXtXlfWWOGYzR0GV5m598rc5F1d
mTlI3v9Wq37rdUWmTs08UYZMyRSNQgjqnDX3fs26+JQGv8hcWegF/Vr+xm4a7zkfqqeGQEHKodi4
L5zG37rxxDYlLtbBKnWkiqRm2TIODwKk5ifQK+++FjjPNj3tQI/KTnsD2CTSM5H3+ujh8vlt9s4D
HlpQjtlYKcji5UG6i9zODCxCi42xm5twQpQVm3DJLjnKeUWbWqpVvkm7FD8EgS1ml3CTqCE9e03P
5JJ+Y0tYjU7v41ksv9a0cF4ZxJt/pnYw6AcC8TBgfM2kWPv72ljy6ZKMdUJNbTCNWYuvRlh2tzWc
bj5Qei+MX7PyIe+EfWjGsdm2Zgl+aLJswB0WvRt9TAubhe1YVFKrUDblsGfg5crgvEKfpuURkwlO
KKEtLr3/P1b4PyMvxW3hzX8+Vfjv+jtpP//bQ/v5/btL/nWwYP31N/+eK7j/AJsMPBHw8UXCv6V1
/z1XkPwfHKDS4uL9m638e65gBf+wJL2UaVmehezxv6YKzCKYNABd3laW2VCh/wXm8t/MAowU+BaA
JxY4qBS++PdNM5KHf7RYALVDSARySQbff1k9Q9eRqAJ5dT2y4yLDwvmmzbnauWafsX1FiehfXrb/
Dftp294Nh/5X+JMfA6tZ4JHc70rH/+sn/RcW2xSjTI0lsLeVhUUu95cBo2oQH0dV2i9DngZ3LBaE
AdKbMsZrXVfDwS8Cg3Z4Fgf+U7ozrLzaV3lS/kS8MUk2QyYhCSRNoxL2/cHsye5a8YlFBCUP90mW
EuqT0a1vXTSgx6TDyYTio48+NsnQaIwVm7oq4q3R5lPkCG/ZakVCEV6Y6cOyXQ9zmuT6z+DKztzm
6GCBzfWR8fV0eMNsHdtYzp8VqWPhkLn3eLWMAzHnAlW+651PU5jFRQCrtMwCi4EhvdmcZyapKabn
X47TM4XMW/ES8BDsySIdueSn7iGlCsiQJ/OUeI+p+tV7fncc5NheE7e3TmZl2ZEkl5Orwu0flHSo
IbS9bM3MORUVag117qYkL+iVEVDR4MkloNuFE/+wwDyJzTTt12QKjN2At+mYaScG5nHsuyZRxo4v
gV3w6AqqKWkPHdTynTKc6Tj6N3PRUuz0opaocZvhTPZhisfWVdt6auqtN5BZHw6NdnYLZM82JrSB
HR+yfxGNWUdBWjmRp5rkmaRP8UEpFIOKYzJyyHM91J2z8qs1D+tNuCqlMV1UmWcvwzQb79NEKkuG
se9gu38hqTbtVkWV4qzt+N2Umb+VZa4fKWEc3AnSGC5TXbZAJ44bWRjVica9uElz8LVxhmxijDKj
aIymd/WcLIEbzRWEhEmOQaltZjVkHHg5+GTuLAiOnbwZKZfiIBMj0jEySIdprpPdAwv75KZIcJt5
A2s6gB3SgzOyIrDGp3tf53n/kWaq3+uur7Doqj6EQjB+eWszb/1RL/clmAbNL88TIBXZ/rf40prE
ntuf5LfCw7XH9qzeV4KPYHmscbkoF9S4SCrr0SQt42Eox/lq1qgbDUbeaFqpFDAwX0kiJK6oHNZ9
rfr+sSgE3M+NRXP7mMyi1UgBeTGojzjQHvIl1VeEZ7WlvBBb+nJ5JAfWpcFoiOLSph2OXl9Dw9X1
W6Edh3eTsYQucqJHg/KPg4tsa01B+UL+LII75sOIf4PdnUkjD+NMdP6czO6xgh/ba61sWrslQEMs
EcxLIwi2rTL9cCYAMGoVGkBLuMg2BwSf956omACSuSrQBAiU44iQfNY69hga9UzTp8ulPGS4EE5L
4sW0xrO8kg/pPMEegB5093O90uyNlbj4lbvsM5T3yB2ldVF+cg04ZLa2717NoQyLBLxAmXo4j5aT
fi1Vm/wpFfLPbdJFzb/GdwuRVUASTvOhOPUPhE7JUzuO9UUDph5XPYqdwUa1KzNYM2zIvXlSpEF9
2rWfnmTWi0M/DcNX6xbNEyezT4pN1f60myFDZM5i/NOSXUE1xmNNyoGS+RGSPsRl0t6yY4Zh2YsV
4iVKVEZ+QVc3wy5O8mkHu+TX95oIAR0NrcouA3PGKGmNbJcpnJwJAjHwPGucQ4apXh/RRznE6w+j
01ObTzIa0/iN1De0WwJ7V8pnBj4bsud4nwOcZ+QEWv7wSFaTLG4SbPvWNfUKfhwrZMK2PGEsYGro
kDbGmbbsu2XQp2kpkx+1pcfxpu7zuU5uNdzsBDnbOSetQpsALOcuAYA5ebgO3a1TB78XMn7Vsda6
2U5Dr08+YYAfbhr0hzWrCMUcWcnI7NeTe02WxkpIb1D/Sat8qbcxrfMfr/O7DaRV/1FawUDFWl11
YlDITt1BG6ZFFDLBuD5+nXVT38SJW9pEz+d/dX8QGkHPLBNVfbCgrSANE/ooQIY6xhP5N0tZ6mNi
x1MR/TPqGTtl8cDoerT2ZTy581Fmyxjc1SURl78JQOyGJysr3WdVV86862uj/uz4KHzGsa3fqiIx
LqQ7aybwFRf01mr5bmWwTq915rbg803svqlx/MjLwDgDvs7xmfakDSX5WzIUTCTCf6ZGs5LXOZEB
4Dz9MzoazJ+EAJraP9ZiiyeuQhaDT15WZI9911VHwsnS5wGX3TPjz1lG5O7Y4n4sg+aPKpl6b5PU
k++6mZ0v8qmWIxy/2C/pKM/MT/zfQemBNcW2mTEHt8RdnLlzskFLa54BteRFzzeoJy+8/Wg17sbt
jEY+5bFsfpSubJ5cTuvnpWyaAwny4051CtcdoTC0LUQJzRdnjZ3DDUSgyaB2+WuxSj9O3lsHWeNf
O9ZzZqcxfzLw3p4zwjw2LsOpLcPUuA4zNoaZMIpt+mMS2WBv2jrF+loWqne2EIPipyQGRV/pQjPU
3VTfxu6Ed24Ly2gheIgVfrS0gyZgGeoxmcT0UTAOfXWMyXmueqs8BRZbO21nrq5xYahXDfh7pKrJ
4ZVG/glqrQmUTLfQ13M6EaVs92fLc0lHCHyDgBO7Ygg6ACNMa0U0xmzvfAS+W0JRPL62s6WZ/WUN
IRPIgfP9kpd2v10JunLgQDAvh6qs5kNmgehNSh2hbudfyLhTBAyVvCsg9ovnqJLMqMQKwdkdxEhl
hyh30P1EpRnB7B+Tcl6vQ0+6a0snz1YiMs+oxfz9PJPcy6Gal2RM5HHVz+c61jCcRGIN9sHr5nU6
dVWWnChniHK3SRLBBBbLF7cbEkIwa+73PaNo6yFvkJynhWWV+VqhiWat0wKtNjuRLem+HeaJKZfQ
kSxM7zyp2+i/WlQZ6a7tPupYrps4EwvxeDZrRkk15TpyMCc0mC8qy2MpfbWqK+QHLiCXZ9RFuL2T
BDZvUoUWl7qb2v2dmMe51R8EE3yyjxKaPT/Z3kc7Tg5jwTEmSwVI4hf1JSSyhSUl0vMyvhvJ0jwU
bYoGmYP2Rkwm/Ptbnsa6X4hdYNdMHuxZFUeeYR4U+ywmGyJD98I0QZA79jh2IxKRm4S+QCSxhrJG
Hzet5aGbTbs6VdUqyHUq2ewjEqPdjE6RnRkQ5C/jgNBsk2Cxxy5aHDNiwh/GJHFIxqir5fdol0Tb
MEHK3v0+iCNtCPLRgqzznBCiQWK+gLAot1XpM62f0T2zeCMYFoFp3ALYMd6nYZbWE8nScakOYobd
JOO+3smm1Xea/KD7bPIam/o2f5sBJ+3TSOONRmxhVgjiuAHE8DMQENuHbrdWceBXZuBFquNhdEbr
19ApB2n81vu23WI+c9okJJMmJEhEycym0bZH6x3j8ZSr4K7NfXTJHD92V9Z7FWt1NwlIVhtJ7XOd
4r7bE7NmnHBVfUKTB+Q7ehAHy2oXvwftqWvOqcjt35eMv/DI48LCSBPlrqkvgNlUb8ZovtWEYT5w
wTXnCij1HAQGgR8uifAuxiYyrqv4jyDud5tbjnedRWpTQHsDCPFEzDAKqfFmyJUzBA09ngFutbnP
AV23XiGap3WScK+AW849SHEQpsE6fwoSyh8XTvE9Qq3JIAnjSMkgLhyK7nfrkr1A9lgTecKquTlV
TNG5WmAr033cUhSkk3N2eIe22ZJ7hJCZ1Wtte+5WctGQZtRk2zKNvctCNOybNbT3jY00i9bf7YvK
7mA4aG7uWqHyM2nAGGLYHDUcCEukcFOJDaIjllsWDRlohT4XVfGKDvLbiP1rPyKa5laSh82cmzvc
YdPRwBRgtehvFX446I9+vRZNU36NSztcK6qvDdqFukvY7XDAOj2dPOtXzuC1J3Nwh5APp8ww2DHc
hF5qnaIlWcqdxYVEfLFakiwkSxrYbVjC2AaZTo7Yq07JIkmvVed8TeVFedAp0F4sbsjYThGutUCP
s0Zydufy25+YlW26cXphwTtFtFZViDZahyb0bQT2nj+qhYo2bpV79vvBfXSt0j+NZj1ueysj5dvw
2ZzAp/08LLcYcqdqLUpQbd4eQ7DjhUcD7bOIKjEfYrIn94Rsnvy835NMGeHeQNgaeaaXcNKiiKg6
0hOSFSS5nc3nFjdIBAlf0WdVAOuWV1q7DAyeGaAgV6PMW5elwfPBhbdoTGqI1R39UDApIJIhK47x
WnL+QS28WXFdGWECbbGtusQ4J6oJPkxRu3vydK13YmWZbTWqONXzCr9tWOpSGIK0dmB1RmGZ/ZNE
Jeddemv9RAWcYctgcJvruDo6ujaeLMyKT/na5JyVgumfq9vkru2z5JKUzYowXU9flmXRQls1VIvb
V9/g9oLBXX83N9mZDVwiWsz4lzlz9zlLuLK8PhxS44W4DkJillFuaqa4BwP58jjbQ3DB3Bg8k/Pc
RxqvSljhVYtGTztbEoR9MkfrOzPRZH2nVSRNJvyOSxdplk/ZOOfUCbr9xADNGJyE8pAoZuPYOfaB
pCfjZDJB3Gpr6lk50HcnL8ifBKCH8Bny2257X9nvjTlfBoKHVzat2b38kSfTVU+mdWAZwTPxgztl
kBhWtoc4t27XklR43wkvozR8b1XwUZZBZI/pZ4uwERYtMJaCsXnK5qE8BD3hxlwz+s7NJ5vnuK2O
gZ+ffZGUpJK761kylN5ilS0A1/29u8Br4XwsGCTo9Dj1hdo74/BsOjju/UWPoU1qY7SOZFnycFTy
iDNKHrCY51+OnVWEN3lkJGFEZaI3cEbapnFIqsyJRF+Ye3Y+xLsq9+LzXBDLSRhjdwgsOv2NbjLv
LlV2vPFnL7rBjUcWqxf71DtaQ3K2SvvAxh8WijEyfq1rr78zXc95ZZR9Qw7GPmB7HOThnjEGJvs8
Xvwh9DHnwUmm9ZsxBUXkO7Qoq8Thjye3PoPvjc+MXR5yYYKeCb6epCrCZ0592fzW+F0uZb4YJVSK
SZiUz5qK2o8aDPc7JKb6eHO0hsyB88jO2+XChJdVL55tfjn8fkQeD3kfeiSmfAyG3xxHotge5kEL
sPARE5kXgLgV9XbEkrGTYx8ODrg8qyw+HDTrJzy7HR3OHECXMxog6NKQ7a4XBBpNqcaIO5m89CQq
AWFMwXYy2H+wqVtxVzLJjGQtpzu8nP7d6FQXlbImdLV+uw6wUrd6pyB4ns2c3AznYUmLY9mnvyY1
/F5wJDgbs64oxO1mZnInVXPoLCAPrk0jnEQxR5ltmNvKKCeA2ZH5HcDvgZvrkFviYHldNLHwZjJ9
1kpA2PvQRVp55Zbb9rec7HtDi2DfeetBGNZZYAXaUGvtkKJ/DPak2nB2sOU0XAdMqszl3omTH4Nj
k+RaGW8QV+JaZnP/CU9YH/j/DKYoWzwaiKPT0I1RohjPc+BcKod91tlshl5Vy7sG1mSTCfuDA5yJ
mNmIN8cprcgg9i/yF+ut9CQ51NJnJMwmDGrosK3zcKmIITQ7ezNyNW8Cj7T1fPAhW0r5J/8f5J3Z
buRIlm1/pT7gskEzzq9On93lkmsKRbwQUkSI80wah6/vRVXXRYYyEYG+rxcNNKo7K+UDzc2OnbP3
2g5JMFF8yNPRj4b8sbaRV6X4puNaIeTjAN/mQcVA3NhlxfSiVS4aqklLN/GA9W6VQfl74JLdbjMz
vkkCInM80d0NTUapx0z8DqfCUwK5yHdGAwRfplMvCjpGjkCCZbTxFikXNttYZrTyhHkZR7vFGK0K
HNFJsLaY0xKjsrHxTTe+JdTRTM+Iyk5o/zCil8VDn4CtVsUx8FpvH7f9xZ69sVm3fe+t+1Lkj2Fd
ji9e0R2TGTxUxoWD8e24txFh7IiYlsUmG6fyEHdtv9WIZDpoIpL7tBXqrp5V+C1MBXpKx3jlyv9o
NJk/3OEohcL3w6HP9TjEXP8Epe8hojO0KUZ11kg6WBXwoLf6iHfPlFnC3aS/DXPaLX1fVs8G4qx9
mkwILGIUpBtRET5SdAqIMmLTs3TomHFtCLbKme0HkiJiP9Dn8aaczZFeprTrg20n/brRxnhdeCN5
52hHPNLgeFB6uKskChJHOpO3qisjflLWaF5YZxs08efJDtoz1NQZn71O1+sACNvd8O+2oKlN7SC5
KW5KQ58Qvc7O92oOWoQIw4MXJA+5LKOdgwl4hyw2fdYYda5rq7nrsVuukliPNynsW4CdGjGVnPPU
yTBLk8gEwJRV9+ABUXxQJ0yzgzRARyx2mCs8zvUwfEWJPtI6QDxkY2+7yXSZwhqLNFrEWVrVyAl4
ZvthNNyzE4IcXdEXqpy1lfDfg/Ov1lFB2jU/ih8OrS58tZO8K+xkvCZtWIt1uvTDPd0BH0mSQSpl
+IVEkfTcusRa4NAeq02LHQXOJ5JsZmLTmOwGOH7fmgQ4ZZca1rak0qSgSnvAB5zI8aw3yapxKqmx
L0ykC3iWo8KzsqcTEG3tmdgBEIkVV49Nqwnx6Fn40zHJpEilsjJPzoRyhSccTmKvBqGDZw0xoWIb
miNUSLZzcQw7BmfX1nv+FQN5UtwRImXI59jLrIPo7PqdORulY2C256HhwlRohn6VhRXeanZp7Oqo
SXYIeyiACIYVaO8ZC65VlVtnXXXrhuLPEJ4kdIQuxdlrLPnQ5zI84kqTj2z8aKoAOOxUWCNN15mY
7iSJJDUYrRzVZVaT0sDlv+LoQ+M/mbWizVb3dMLKSUavrs1+ARNqSJ+kcG969KU0M4fiLqlL/Juj
+TPw0I3rhigjcJpG8CPI4hxPdvE1QewNR6y5yr59lF6q1mppePVQ6HC4ViD4nPY0jjrLFU+E79qF
2jOtLF4rK3b2LkkgPrp7faNKdCMh7UEEIel8p/dqRPyb4SudHJe2WSo7flomDTob2EROml0ZJ9XF
TcEOVPXoICrsntQUodKTzRfcFDW21JzQBmnZl7kLYwiobf3NJHcLdVfgDDvD6pF09aaBHhvjYhoG
j8QHeQf0WpQ7Pb4Gtz+NYHbZ8MbkOEnnPab8X2Th3XoRxbITEFiCjJV4DWTZHCYonsZ134nibM/B
Xe/Md3Zoe9fIcQmoU1m1LTv5vWAiumqs2LgZc2rjJllyIBCivyro2GTIed+8Trh7GwEWqA/XBPGO
5gT2I7q1PMiSw6ik2HPqcjWWx5iq6SnJhHWRguVHbkF47NEB7LnYwXFrsmsXo28eGUxtmfCeBYU6
HkSF1pSu5EbJuT0Qta1dcPUtsG/zMaoAhhRpznilQSURabZa98Ahp4JIOCOrFmviLbJ7/SyAY6zc
gFx7LLhcitPUozNkp6euGO+FxBON1dzB7ozETwbewzR2i8G3eND5EaE/GLaNcrwNDN7HMksuEzZX
P7LR7I/Qz9FYpMJxfJLj9L1dNN1WUuGwF9IaNTedp9iTB+bqJ680uoguQGOymAc8xsJmQxaYbp8m
BGU/Ssuhawl42qewmHm8VnsoWYZrNJ1lxJU6rbaYCJObLmqDu2ae5+PU2e6N63WZn1bJkxXaV7tN
QEuQCmMn4pQBDnXpdu9MC7YHZN6rR110iqHEN3W8jvPmeeqTF0uVNFqhfft16QCHvQatitYzA5aH
Bt8dxBMAK4ZeNifsfxCGEeA+WwRj7NNmoKQZ23LdwfIMZ+Gs66gy8TBW2i7vSLzoryOzpptwiJJj
wm/tNYeHEviZU1F2dw29F+grNUFY1ln0iL1XIFLIGam6YwhYcj2K5iBs9tOVaTHMJ5CEajCmWgAI
MnGc5FkA5tMydVqOEDGMOvd4jG4un/U6MpcCCEajO2bFG7GLaJsq6MFn/mhyBAj/1Lm0qDJNbkv2
txtvginja8T2fEcikW84D4drPMzqEFYFwl4MHfqLFTfaI/d+ovdYys/oKJQ/0mOP1rjb21v2BfAp
YW9m31CYq++QErnX0TTwFEOhNLVIhCisOKV7a/bPVtfGt0ob+RlPKQ+BGdMQXQIgsJBsupgyE9Oo
94hupj0giZ3ZrhpdfR3A9zz1kYgI0HDoUxUhSho6maZJ4kEps9sQhCRwuWz08FaF+TDzlcRgQkzp
xE893rAD4yjKuKKX8ZYbtbl3+jxGpFxWRKQ4yOEIVxjUC3yL71EOI7ubuu9cy8FX1DERIXotv2cU
fAzcZhpWuLlpiUCkcGGOdMj7m5L/WcPKbm8mhNaUlLr1QuYWvyX+sd7eaIbdvhFGAeSmlUG5rXpl
/UgoyLezMu2DG4S42TNaqwj0UUErZsJ4vrttFWfWtbdNdrQI0by+qR2eHlo1Y69pQcP8CYw8aVfe
0ukqVpSK6iffTr8tuhFhOMLtvT429/ZoMoYkraYgl87S/ARR3w224fGBzlq0JY3Tn9HX6L6r1Xm3
gh1vY/TGNh6uHUKl1o4IrLeyrDt8JJleH1uCG59k54m1pCu7J2XAuM0GLW19J3AHRtFYZ3H3UVUi
RNIBpHPwjfGWieKuHljA4ey+4s8Nty6Q9TsWfr2ZNa8/4MSSt7qKXr2Wjh6uA5mhLlRfzQpUZ2uG
9QbV3l0fKTB7VY7oVAcGGURy8u0un9f19FLF67TV65UhywsTQfwAfS2ewqpeqyltiPbAKwPnW1+P
Ydls+qQf1rjInFWQYacpsP2M2LL23AKjbWtoAVZccMxOb38bgy6aNknh1gAgVXOTuDS/Rlpg92Ya
kGiaAFZ9ZNg0b6MoCa5DMcTbbtTGr0EnfhJmavmpF5i3RdPkz0XM2YGiWYfM4MXXHnTUThFumPuN
V8PAYIpiz2RZY+yNaUty60iT5DHq9e7ekQx8NmgLQ+WjboxPlocgkGupKcC+cCZbeBzxT4+LG1ig
N+/VzgQA0kOcYaoWE+tVMjo1lLNZTmqHi8fG8XIoxQgC8BfU+vPYVw0CYkA4ZqeyZTAr1tCk1IaA
mUduZlQpndnsXIS0N8mQkEYO0WqN0+Yb87fgRCGSnDOqST+vudBMcW6frIqtFs0ROk5mfzdZEllf
HIRRRM4N2yQ2pn0L8QPZatWcqlnE27Rv9fsIfiTxqJyDq64aUGFStdS7rhiCh0iN9oV2JR8lYSjo
1IV5YjQt7vhWsXSjtapuRNBbPtO1YsQT4khkFJU7n0ldc94n3DfZjukLd0CmbuNxaAjxcM2Z1UMv
9TGczf7W6Ks7LZzXBd28m5qMtQMAd6gdOtmHp5CoVH1VY13kv9AokjwrkSIVLt/rwRbFarAZqTil
0f/IkA5sOy0L9lgLeL2yreROUCicwNPus3zqXlOFjGdDiPbgrEKriJ95vnAi6mQ30kTg6GKuvgpz
wbVtDNZ20sKyQGgYoeAHmCJQ/GIE0dn9FfM7fY09DafbbPT2ZkhxJoC6UadpHm3fhY3xtZuMCe4C
52NVI3HvIi4GjVGenMJqP7A1HDbMzKn/senF9x2sXdrFCSEJRsgO3ZU6lh+CYwfWb058gMis9Mes
5fFj6zXODyZw3tnqxTHuE1wF3LfRB7pyaAr2QpH5DaK3F42B7G0pagSgRSFYFUAC9BTbx+At1CLi
AlK5QDtoBVMzfKcHys1D1sZtKInAQBiEcNmFDcDgfyS5ogAA1eIhPoU56F4EdQyYtIXJ02kwdcbm
mweQ3cYDo/QT3WdOG5VYyfeAZiXXBPwsO0SUCVYqcmUoY+ovNIa+xtH8NoxexjFuN0+GBP0d1xbU
DY7T+IVcj/lLN5FWyi6kT3sMwu6Ku0bLbUrPUAdwZ1mHXqwWWE5xdad89oPCtW+7PMeCgsMfVW6q
QD0YLqS4NizNbVEBRA8H8jjwLA8dCYMgMz8uOCltie3sNFcmXmLVxCXSvCREyOdqBM7NkebutHqU
19LU1dkBp3Ps2I/uEXloKMkxbVO0j3dgkcw9PtfwJQJ59VSnuKgRIWM7MjIdMYdmql3bL/1xLW3E
JZEDfScdWxMDL4D4Q5Ouy9hCTOSEnAQx/J8coBFhzWIgShJO+VknNNfvCnhHq2IGmk+0gpOs7dom
dMlp3xMRY7ItA2g9bYKcoUmzeSMN8ejQ2/djXUDaZzfdMN/Nz1om7yxVzNsWbAX2uNm5AAwnqToe
xzdMjmTftO6wGIeCoeGKBBADYXd+z5AWRpZmjncMsO036UbFSZts5mqFro5JQ4KmH4YZ7Ocych/M
iSnjZHQvLX3oJaW5mW8MWD9blDTNjqMUvQvo/dte5vdI8NLzSM21T/BrrM3BfUagGxGUW8eUku6Y
PAHsKu4G8hMRCPdm8ox0lRmB5s6Im2JFPKsx3zQsCL9IA7UArp1DG6W7KB+io5UTRUqgh3tM8GRU
qLDXuCrcPXrj4kAvQ/lzXOX8IsbhCBh6vs5JQ3+zcZycgOcJUTDB6jf8JIwvmm3cu03w5I3VcBc1
YbF2Am5xKareNfmn0Tofk2vEnDBGDbU3XaA2eDKmEyJTOq/ZWFzSEk150aQHg3L2ig+MvgGXKJg6
OamiXJ6Mmwqu0J6+33e3rR5NfTqFMBGpxKxjUecMbXQ37PdJMOovEaD3bZvl3s4yzfxJ9A4bV8dM
+lAkxVGUdn+iJ4AmxLTGdSxk/ZwR3HMDiJD0g1wCv24YVEMQsQlhRK9U+xBlsm2IU34xOiLrKMm4
zPWaSIu0owEw9pPUV1XIXDYy9ezKNk0qGyP5ccPJUW6ZSeqnXqqfVSPo9bQhvNB4oLWHVbK6sG9Z
Pvqv6YiegAQILxwfVReOF7cIhj0exvkeiWW2meOAlpQnivua4uJ+6Ca5CaO8wkuscAxH/ahOWO6I
8POE+26PRvCsYJSsoplLKR1pyEX88rFJM17yvhRxNq2ruKRrEJXaOi1kik/dig7JgCY6jxx5FbEd
X4yipVE+R8Tt4Qvr7ugNRN+zgXky3vCCEBsakcgdhH2CnWS+iHQY2c/mlq7haGFUmrzGn9IxQ7cV
M0+wTO97HXgmCRsi/E6TcHFpLK0oo06uMZfwnItAbx3d7mVpBX3RA1RZEHv07usc2PKZ7kb8FX3a
fEtvw9iEXqBt5sZLfkaaKe6n0WZyEJTZY5AE0YaxANd7Mjdxx1XOg6ULfRf1teVL147u8SRDT6zM
Pjt2UZK+k2OjHgqOVwYzU3Bbe7VloZ3I4Op0ibnRCI8+9rlhbOuWs4bLc6HfZdk0fKXNYt8wsso2
bun2uF4Gs71lYmA+5D0XcK2c0oe01N6StoFU0HB+An45kpfeMs6xmtuwHsWrRRrchpszCoyixHhk
OrGGMIhcua4m/BufgoYjTVP3ZA5QAMqhb9ZZ4VTbuaGRUSXeAGhOineZuMEJhU5VrHCgw7aYgj66
sykOCH0ZgyPWhGw3NHXOsuWqz9WZbgHTKHk/ABO4TzwMXCFCgMciiB84Xal5LO7SHL/GvsnxM1pD
lJ5wIo1P9oDJE1QHgyctg3MrKWvX1MjpF7iNE81oLYhelOnQc/OyZKDtQH8bVj5zIdBG6dbRDfPU
Snt+LTAf79yI6V3b5eSMc+X0CfnguGLW90A3jLxXy1nUfUvvvdL79h1xzQRLLLQeZrIsDgrXks9z
awmwib1jlYKwUozowUqF9aozQROTj+7QV5hsDY4abXOWJRPsfLyAYL7ms+hQxnVq23uBu0VNRs2J
Y2pXMLp5aBWhkaFqrb1uAkX0WwKqLS6Vk/s+k2jJSTEXT2nEd4Bf3MBPZ5NwpYbg0iR9c2sGbXqM
CO/gCo9QENiP6fKVi59sONqNCqa229hEpANbgk3Yrf4PWrEkSWQGGlMNFr5Zt/xp1WWwGa0g+5p1
U8gIBcnwk50x/7BQX92pIkiI8mvVxTIYutCnRQybKtJgARQV1w818//HCGJSZ4UwkWz/Vgv/mr8W
/wJB/K9L/L18e23+RVw4/2f7V2H8//1L/9bGewZAYl33bLZ4wxHEKP9HG+/J/5I6DGDH9KTtWM5C
4/mPNt74L/4/cIdtEx6OLhdA9f8wdxDUc2jZHqp2C1k0f/d/JY//ld2NDUanN8c7g/3Dj8rlr/0C
CG/xkGKMx9bEKIlkNit/KypQqsYidCDlg0blnL13Nr7E2UvfmE8hHiw14ddKX00Imle9WwBYHQf8
YkP8rErSNv7yJf+Dcv6zgn95i7j0dcwAzkJi9j69RUMF7NtpyM8xB85Bys5y6tV4HSPvrOr6FSPy
xW77NRIvZLI2tLv/pzdgQnjgq8KF9wkuL1NRuYMJ4y4IeQPGPCq/IiWaYLdgQysd7XsQILv1uiNq
336VCN7H79/CAoH/i3Xg4yuwXXy1poXfGELTp6fEtK3JsIciGeOeROv+sY+sS1wX59+/jrn8ob+/
kM3LmPQCcCf/+kI0qyHvTWW9K0pV7ruQLHdkzy8lfb+tN3FpZRQFFtYmxU8Ng0f/RS/OGjcBXDnF
mWJS2xgIEV7JCBs2zSj1eyMVis4QAv+FYAI4opx2DYGKG60ixSRNiba2bIJzml7hqILktw16eYdv
n40r4IucavtrG7QHvWndNQKR4BgWmrvSZIXE1sLoPgVPWLJZrfn8WArXQtI0jJexTd+FMaebVmVv
xUfqUBNcZtf7CYflHobsl99/c0t4wa9fHD8JHaiWoDtmmu4njL8zg24BF1LtLCNwN2DovlItrF2z
YViBx9k3o9CjbwAv5fevK5fV/+sLm9hrcJY4C4OLbeTXJ5ZXnlNxWCU7uE7UHx1jAcedu72UEIJD
g9DP2AE1XCLCOeUTP+iiTUAAuAUPNBvlJovCbe+2kI4wlq+QwIN0Cxyc0/Uw7Qiq73zXkyZmMUwe
mz+890+4L5Y1NDHA6y6r2rOdz3kTeu+ZuOKijAm0LNa1ZlmnMGK2aCjvnptnuUmdjvDDoMsvFYpN
+FUHcn6OPaF0qyC3D//egMwRivTZpnO4cltCZT2ND+1MfBo7M3DgGfP337/vvz9rE4OStC3JhkS9
yqnx11CFDjqh3uC5BreFWR7VNi8MbOjfX3RjVwC++s7zNTOTf/p9/v1h29KUnk3TR+g4rn59ZS6F
wdBjbN4FkB+YN+Fw9xiD/8GrxIn0eUnZBsJzOPV8ODacX1+lIAHd0OosI1nQKXZOU0P5CqK3P3yJ
5vJnPq1c2/QciVVKkAwsP21qUBwch+C4bEdL/T1wAvzaNokLq5A0zxUkXD4bWOJ1oDqG9GJOMS9n
7wKM6rWaE64qPayUBdElTOX56As1vKKk4GYtizxNBhiPOh4Po3AfNVsjo5fpLKZsSLJD7zJb7jEH
L5hwvD3dBsiKpHi3dvrI/mYJutlxjfeqpKsETccSZ93hrSU9vmsv4N83a5dgtFnDeD3zn+pxBNUS
AhKH3INCt9fojnuVCSEXlHmHHF9WA/CxLnnL5/jNSowrjvTgGFC3ryDsvjeyL/fIh+n3ecVeAxjq
97bubbMyfm/CgFhGvNY4ah2mHMpjwQnWdxG2VOdV9gZKaIR4Ez7VczVDZPIALJMmoHUp79u4FrGn
7YdI4TqR3QswPM8flt17ogD+An0B9bjGfGkc8XGlJi+WeYn5SqXNtky+/Tob4rc2HEGG1rRAQzsD
JSStbwXqPj9k+nyvyoHiIZ45iBE5oQpN3gkxaVE3du4ajdi4woJz30gcASmn52Bk53Agul65bNxD
T55nygGyTkbGT3mjvTg6qHgzgIvuRQYiOAbNzGfbaMtexiTXit8Mk8eB/Cv2NRqc8I06uhtmfoYJ
95AI77Em6pKfYcOANljkiUytOVgUvFaDR4O++t5GDICuhMYrbCw4Um+N3jZMWZg6ak7Wbjxa9jRM
2CybOqGXmdlb6J7vBRFsKxv8O9OJ05yn75mDT2psp5ahNR+0HXILqjRGEFagyxh/DRTggoxc+oIw
ScLyTFRbPbwBRDot3HmOTBi3FUYSXmpS6bsWaqxYnuzkhO9w3PhHi25IpR1zZuR1aPdyopyD8B2I
M4uAoTJ0n8FFVMTsDb/AKko5qbM5f0MJncFYEcDilOY+tDLbzkn0ZjNr3Ec0E0924DzqHaPchvL0
jECF2mp5MFQGl9ZuAKUJDo+PtTsNLBudK+aKvAYizKL4zWVOBwrWuBp4iHboKd5c8P9o3eM30fHT
+Fi4zcz7DopxC3URlEBu78CmPVYehUxUIy76+AnkrDAhjCvZIXQ0FcWnCVqLtgIPq4+XakPj75V5
ZQAvZQUhgShWrc7PpepLVKoQP86DrmGWHILYr1wWbYm07OON83apYno6e/DGp53n8bml1bdfeg+E
dd+hWEYVwU/NiaqbklTiTax4dkhx0s1cowHEXb62crlwvsEUJ+iFyqEM/SQNku3YBfg12cC0dtmw
HMyWM5+DpYvEZXnASOiu9CdfCC92V8gH3sGkEDdfJ28f2wWtqfdupI52FTtBkYS8AMa6FaQez6/s
CYGA4FbZD3yJXAaohwDI+FTJzkpZYu8yJj5npUuvrWZXYqNKN/ZcvSCPPH+cTp7OKgaT7G0tYQZH
aSfvyFODO/SS25wiCSvmbG6atqi21kjm8+T9KBa4uCFZuSRIglRu46eP7ART4+8q9trULvlCRmvX
ONkbM5uP7YxANra8zL58bEo9glvSU9uXZOS9xb19Qa8576HjXrnvFLsY2xOyiuSNBAYIXgYdgkzx
cD9uEx/ZCDZe0s1y7Nilc/n4hMOUvi8/iTq2rstR4Njy2lVsMB/PoJLeJc5JG9UJoV2lwxnwiIXV
a1k2hQu8XiL6LEXzoiemOFtN8p5WZGw0NFNII2Qxfux0rslmYkXuYznRUjXtWduwmwy3hNJ3uOn5
/ZJgTXiENvNvuWAjs7QNjt3ydEaNlWfN5XlmVENXnt8hvrvx+LETQ8alELPDbI2JijPDpMyaZvfR
Qco+M0NGNNfM7ohPk39KH3Jk1QP7wawzI3HL40vpoZp0rYrjp2VHYA3z55dzxcBEAPaa4jm1rato
gs0UpdPOIMVklU78eJcVNjJGBsFFmc5Os1Vk9a6GkkXHGKrys4pllSt2H1fxaAyPgmJ5um3SvMSE
rqwcnJAQQ0Wxq0P+YI3idfux/2bL7hjUzMnBdBgrzSvLfZ3QzFjOuAY5xiqMWNVWzw/IoZlr27xr
STynv4yv1h/lcB8zpuvp9d+AkJ+e0CaVewj1aNAjiit9TN8+1krR5W+JG70zT3sM9GTiwMAQqBRf
9XLaBB77YtrxEwiaLr0ZHTtd25pNF00BwEYIAZaFHIsVM/N66xCawrNt4ssAPhXPwVKfWw4R3HW0
z6qSA2/q6gu7ZH2Kzag7YDg1Vi3AKZx7EboeMZMo2g/upiyxoCR1R8QhcboDs2FL3zfVHGJHGvuG
ctqMt0rAduhIA9l5TkSpMcbvZV2+oIjpCB3ARqB56fyAAQYiE3andVh1D0lRhyjDXJhOgRDM30S8
InunoCI2UPT3IlgbMOL2YYaXCMs3o7hwKQ0qVR4aK3LucNx0/sA00zeHQGMl1OXBXS5waUSdXM/N
xRCRuXXMEUO1F7712iKwdSBAKZJzfDnM7ZaY7/k0Y+lYkQz85i7XvNKp0nUkYv6XS16nRS9w7xEk
eSFGMF2PBdR5oHjdBpiK7reoC1ZjBtxNVUxP0Glz8pLCsFay+ZnMFGydslALARvf65BlNhg8Dp1X
v0DIdmD3IcVTBkFF6BaIRnGNdlehLPHRXQe8PAN7uGJok0TP354L2tFC9FjPLEzg6hvDz+Fn2jXR
Pq/dABENCDAuUN8r5IRJOH3vR4pnhKNsWhot8xKTBE0zhD6sBsR1KZpzcMFA0Blgk3kg8TnLGBlE
gl3DaAlAX0hkFM93Goo8DYsAx1G/JagJCHHIMw2B/Q3NiVjVkkU4PAl9ODZ25q7ATJEk64GUt1l8
zkDbXY5CbtJee7Vwn7CehHHoZvMapgkhGo1+bjQjRczMlqknPeGpMVYjRkCwkUZwbu5y80G7BAB2
ZluK+/hdjKWHMID6SQTsNGURTU9GZxKV66BoHjJOIBOQ8fuQaIDghJs9FzUhr+asv9AzJehBtC9F
QIsjT+vmeziTaslJ3APbcbpdWlIER0yaGH5QMenc4ZALaQTjfOzjsMvPhs45F7I5wJvuNpoqvR1T
fv6t5UZvESG+dgx+pi4WIg4ZcTVGxM0E66V+k7Nuy2WJcmHemcPwhr7L3aWFukYuKwZWOs3jAvU2
gfHvy/tUro5bkc0JBj3XQk7rlUeZ3Yvojaj7Fz3tlw62fm1nhLikerNCo3Yk6ydCD6Q7ZCo6EJqz
4VxN4hsXyHqrK6s5tagHn3ot/QqP6hJ2zq4mWpzBPZuaBA2JFIF341JVMcnqqK6X7XRGFXKDbidd
QzNhNmS5j0acvlVMFykwxrvZGQEn1YyyGuoaTXhnFDM290Y3BkA/IJkZ8wcP0K2SCDs6mfFZ4wZ0
05BEd3ojqq+xzndfUCYzKXAOmckKw8Cr7dH5lxRYfKd5BnKK7Cn3GeBNcwq1eHjMCdRYdQ3LTS7N
qzjEp5OmkT+57GtBS52T1tF40TQDibftLZt0zm0FUze1d9vNfFhqTDmralfESMiQH+2zUOwC+vAH
4SXvBbj+kNO+wQ2xQYB1CZnwwpniREeUghSacqde1mrIMrmQuc4tj5qAyzXpYgZmHo03vDKXM7OY
SsC2y61lHmkQwR1J1+QVvJQ5R48a+uE2JK2M+Sye+KDoil2H3+040ZlEKpyNt6ndpfd1r3D362Kj
hTr6MYdEp4wbPQ4l1iRsseIco0nxCRxHVed64ow6mV1fsobHyJi/kfAV/WhidJB0LbBuAxXyvWXm
12usJm8KgtdsAAMdN/m7TiTHWx6o4pxx6n2sfu6bG7Kk4yOX1XeaEHyqzL53R+CQnrzizuKqF3By
JZX2c2lUWeZc78leUzcWbXvGCssZGLI++1IqWAvcvJI6rK6Nx6zRBKboRwJuq9SjyxSzjdGMTDe5
I20/tbqjBpaHHbciSXueNyaQ0dWUudSrJo8j1uQtwCUU+GguVqA3xdqL6Eqx2jnisGn6qjCvH2cv
w9yWlRQ8/v7ib/1Te8F2bakLCRtGt5f2yl84KCpRSK6x9e20gksn4akE/3bdS13RFEz0fN6iACI3
bEnl6uYMgZPMibVPq2er/uLW1aPuxoLfMBfdpczoHV3bQP98TFV4p8txZiDpaHuZNf06GgjbqBiO
2DmZ09LtKIC7EFIu5+DHHQlPww8AtBHD0k7hJrevIp3BWGidOEsYJUe7GvPzqMGNtxTrz3a4A3Vg
5LgvpZL7tUXtpWGo/7iE9cJw73v3R4JU7lQQNARBeKkCIzgmNnfetRW6wSEVYvzft8iZCBgMCpCX
0xUwPnWkkiyOoLZa6S5ouXK4zhAcYXRre1tSdOWp9Rx/bLz08f205+eGgML7Q4v6H5pirscwwwa2
yCzlcy/PcN0a22ja7xKHSJtWztG+baiTIhv7e4qCEUGv0n2VxcYf2lUfub+fGklc3z24QwYbBr2k
XxcUv2zR4x3ud249wstnU0dApon7eEC/bM5V9a3HBbzBG4ELGDtxqXL14CGLmoxRvPx+dS8duE/v
hSfgCMdwHdwM+qc+cC9BmUdkZu3MZRNYGgZQximh23FhjZlXjNl/mk/8vWdv0h+1HNSltJ8pvH/9
+EbR6Vw3gx4LpOFusnpyN3XIfxJZ+Ti2jcKbhDW+wOGzR8aX73//gf/h18ycgDfguTx9Rlm/vnrO
l2p0hdbtapdiDDkcrn4uFH9Y4f/wtdJlRqFvIU//+5iK01SiWbO6HWo90+9nxCVNMn7TpvZC2sDX
qcviP7yi+KcPZpAU6tLfFsx9Pn2wuoDDMrp5twvjpD0FHQ3zGCHigS2BVs7gPkYcn4yiF6+2Hb7l
Yzbt1CiAoYY1kGUV/5iz599/14RwfF5cyxzRtnQWO03gT4ur0jDke3rFbyxNvpWVNf38d/GbJtR4
gL7/ELL7KQZ3GQ5icnUck66/6y2DyF+fbS8dzQ6KtN25AJkbclIXu32xKQMAzDpV80oo+9XMkqdK
zw8gDJ6axWGg4uGml+mPzl3SGeCM3vz+W1imsp++BsvypAVGi5UHvejzQNAdERc4YbvLPdL1nIzi
2a7Zanodd2Iv5aEv63NEk+yL0RFl2ZY8Io20ND9GCiiakcYUdRzabylXcVlMFBnGZRAdlKok+W63
e6vT8ZmalCCdczBa4yqpcfqQZOk87JONRkwV8ujEd4jmRn7mrrNl6piSQYHnFOuYiV7EB9PO3VqH
g4iGPvf1ADunWlpZy9ju42BLcCMdfv/dyL9/N8sk2QIwZiNRsj/Pcz3yhjouhgtJgOvCZNXw+AEH
gq7I6Yvh+/CnCG322IGR6ZTSPz4mrVV88HVJQQg+lzwkpF9JkwJx7LWNpTMlghQV+9jbUcflIZGZ
aY52zaUTGuZ/3M/E30dauFl0aZsGjDnd0pfP+JcCgV4G+3xDsUlR2q4SkCFremoY9JzmpYdqSTBB
fsa90YBGc8g6y+JtMxA88vuvcvkx/bqTw7MDhCMlk3vdMT+tshw3TqXAde2qqTnKgS9GshLiAgf3
719I/n2nYXQoXI/kKd2RzuedhilIUEsMc7ugoCsIl3UlcD5taxiz79kMsBW2OYt36S7XI3akIm14
Mz0WzSBHMj9U0ZvkCh8PzJucnPteyhWQ7zfdlMudseDyTn/73BjM5o2MNhyB4NofZnn/9NAY4DEA
tRx2jb9NjrFCulLMERjSFn+rxFxKVs5Y+XlL1TnmY70xhv7Hcl+aUtpPfR29/zdrZ7YbN9Jt6Vdp
9D1/cAgySKC7LzKZs2bJkuwbQvIQnMfg+PT90efvAw917G6g66JQgsvKTCYZsWPvtb41F/5fVqzf
F0iJLIJ5omM74vdtIrdJ+Kotqz6Y5HA6BF5suQy8WN7a23H+26vZv0+wpHSAtzP3dSzilH7deStL
+yayU+aXo9pn8ElwzHinpbPVNrAUoj6PgnrRDDkAbKnbYqleK6JMrkFc0RUw1XvtW/N1LprlOHDw
3mRkLWxEwckeS+NwDerh9s/32u/7KO/YXQfF+IpXGcnPj1brTpKYLx4taQCgQRuuQyOjA9GbnJ9o
ZZvhYOZ/GVr+Q8HPq3FHmAEVquv++iTllA5j1SBQR5PHLVw5goP4ZF+llSB8hgi3HWatghNtj8ot
9i6BQ6Ny7RnSbzd2GFhJbSppIUQMikKdDdiNXQfBd6WsPbnSu9rhiBmDfA8dV7/aC/XW955IaXFw
shk/70n7YTUjQ+6Yr+MXwCfJfcaJaltUTkwmtBQHlXXxNomcD3mDR8cyGOrVOKMgVhDGGcu1mI9G
BKXrhJK0+/tppE/yfbZBwKm5Yeb2eT0Jk9nNy00w+K3ok2NMcBzrDuv/inX881f5j8sGocMIeJgJ
m2g2fv4ucRckcStYNtSs47usYIxpcXzZ266AH04fkz2QQ24S2O+0zelmu3zR5dj4IRijfFd6REoB
qgv+Y60vkMyfkjmBKym62g21tj9+H22K2grQ/EATLBh3Q5XkS/jzJ1lvup9XWgLRqS5QM9mmjZT1
5w8ClIQRbCu7QynZjIEilWEh10dCxMNFtUGxDfyl+Cj8SIaOJNXizy8vfl9/wYJIl3B4CnbL+lVC
EfhTFoxTWR3MnClaZbfTHbFVeuejaWTkGYjnsnaLbeLE2am3eEZwBdFVMOhjJ+t/uVnZhL0pyR5f
uE3Zu5goQdsgaUV8Mq2esBEsCB2Hzu/zB1oblkGfL5qgG0dx++rW6zTApcme0pQ8mMXa45vWdi4s
w/u2GcWzSaxgDYmyHXA3uN7i7udV81KoADwfMX5mbphfBWjsQ+kjsMkk48Y/X6V/qCx8m+obc1cg
2JW99Sr+sCtDSM9K7HMV5mQeq3VAgKWakbDFRKjGMrhbNCZ6lS2nyczMDTJP+j7JM8ODmmwXxjCL
2SOcaokQYre+z9f1rYGZlS4QK3X9sWSij+WXWQR0k/nw53f/+7rn2x4VBc+9yTH11zNSr426K2i8
HAxfHICnMTdhqchm2pHfu1F5VPxl1futeJbcU9SnHMqItWNjX9/SD9crtiDSwFXNDrS2CUWrNRD3
dXL/fRbTff96e4ZChDmtSg5EI/06Bhzwv4Dfmfpd27QIshGzQLtmzfnz9fh1o/z+5lzqWp63VTW0
/vkPb86bwUkZ0L0PSdzQo2t5D9D3mQLwPeEk/5t+7R9ebn3EUSo5xLrav207WQ13XlXZYXTXu1YW
V7NBQSU67h3Ojn87Efu/VsGSNY4VBUUnQjbc8L/cq3E7MG0ks+wQx7F7hStGsBaC5JwEAelthgtn
zKhIkhIdLTwdF+PaGB0tyyhvRCXkyyiK4C4d+qPn9Led50+7xtPeRoxwq/HoEHvA9nQh3Lg8kLoC
0keXZCg7kJSiAat5suhy3yX88mRovXV2fZ/QDj+lfWntq7RrcCHbRQiWpT5yhhHx1iCrNxTKTbEv
xujPo3FPRxJItiJiGHu/c0bLYTBRyW5BioElRQ52kBD4NgJ30JXXGGkYpZm6LTknY/I0oA+VPnn3
MX8Q28Y7Bg4Q9GPT30MvtIkeidJQxpzUyKAaaBu6Nh3BlrZ6wpx6NX07ZwSqLjqwLMBRUzQldiGR
nPu0HYiFEWVGlyxyDo5s/GOQ8B6MOlL0dx9rLW5VnNihQXf4gmJ9of2zWJ++2w61zNy/PGjOr4W6
hDNgocSyOa4SUeb/0k8MVNMGRs4uj4LCx1TFM+bkqEZgvzHZppZK7cK8rZumPET1iGFhmQWOqPUL
rDIR+q0m7SLtqeslXq0wybE32Kmz95EebtgZSLvlBtqRspyGPgsksOG23DNEENu1K7H3ncUgf2oU
V8H669NK3+rYfnIlapNx8lCSuL2z69uCCMC08//ScPp180L2xwPFE0wdw0Jj/nKrs3JartMAkYvb
hZAfUL5MYv+8WPy6eH5/CYnC0A1Mz3LNXy4wpzCXRoDyEQykWKwG2q9DO3DMqBfEIBqOP1HKfzsV
/VoU8KKsnYLihvMEy8YvK5Qy4Eh7cStxC0ucdQoXSb2YDWO3jKgWh5Ge4az+/dbEfaCz7i9tLevX
2l5CIKdAting6afScfl5hZybAlPN6lntvdpgLg/9rbadJSSLjhfEuXeqA1i+rHZPtB2yA4DE4cOf
r/t3BdyPhdH390CLHH6Lj+h3FYj/uErz2LTSbgE1p15mhMPcdEdglmt6jNlhsxwSWHv4fd4mc4lu
uJDihrxqmIja9h+NTC5hPEhYFGRDkhe9+K9mZ3Mpm47qLq73RRa3DyPE/ZPbSj6OjuVV0wjvSkKz
frYVqoTNtIaRjYG+cwC4bGLsBH8pvlybz/DTZ6SABdLuYROjcc3e/PNnnBPtrWZSb9/zVF2NTjvt
zRoYNbji4fz9Q5Cbk9+ZxEBfdTF/wOARSjCsWvh3aEcWSrDQoRexdeJIHaH7+YRRpQbPtdkRZ2h/
q9FiHCFXIiGD+hTCxL4n2svZ1W0ykAURd8e88QAGuYt/8CY5MNUG3eimKWoOr9nlpDeg8KnWGXtp
7Ass/GEbuRtVx0BpAMjeTPzNfe0NSCxiBV0Ex7sHIPduXurnpU0dFqH+7JK6tl0wh21UEw/XWPP1
q0FM5J9vGee3nZbLSRMeTaWkFez8etaqgyBKFs5Ne4Lr6J30RruV6QDdbHwsChFtnV5Y+0XDroXB
Hm1tOl7b1CXgPfNz0BQJ3SvQfjhOAh6zFOv6pcmU+dbMKab6JVgu/BbvahiqnomwKI80kvoNFx0i
oDl8XtI6uHDKA8qrkey5uhP7xib7p2htiPNe9dznxFWDgHgqaEiHMOH+VtmI31YrYXHm5ol1QKII
2qU/31Bk9c4e7RR3bw1s3j4ehU/2NDIE441H7KC+vesrHz7QOBl7xygMhDhNTPiexpMjkppYX6Co
BbSfDzg7kXckPHbZQjrLxgcRtLfHmhvTU0bYIo4LzZZ7ZNYkv1iJn5Jk6uMvbtccS9izli0ex8F5
FYYFviaQj1GcfOGs04NdbvtLoQ15VIg2rhUe/TtNPbmLcyz/wZBzHC8J5CjGSR88egMHwchvz2CS
G33gJXEKO3/p4fzTvcPkQtD0Zu37rSicCQtmRsm9M+TuN9wG/t36rLQ9jt3Rwkf/51tV/rZzCb4i
B4UanVwy5H8VMxc9vSqz16ywyKnClDn0K8KyGEc+uENzKaa9Y0bpTezp+GL7LQteS/lljVz0aWio
4H1ifpkmvgxBdDUq7zpa3G5vofKZvPOs0gpAA8/1kCJ55f8lUMFbQiPgvmyxyIX2yNNM2f6t6prl
3q4Q81ngw75aVdUdCV+zmBxO5VXamR4gdkftYyTxH8Yhbx8Y+EehZcfDfZ0kC9gPdBqZsGhxeUuz
I259uEbMFZyYyN5r/DHHAJgf08qgvy68UoL1rIbrEVP9vgORv+/Wt8PEFLN7Wwwf3Jl7qxvYZox4
8AtQhzLdA8PgKdRGemObFenybWl+ciIJXniwGGfHWDj3QUukYzcQYtBwISF4WCtT0MbKPvBALH+p
Cv7hbuEmoRez6tHXXfLn56zzvDwrFKpYv0WUk7pcv7aGaLFU5OFJlwfiz/fL76/HVBFFOiUWB3Xc
fj+/npeVKINJW9rnRUEBUvM0IJsLsPQm/jFesN//+fWs3wtLjm0un83iwMswL1jf0Q+HJB95Gxlw
SuzRMQHOnlGGWpbvXSUFg6hyMePLFIhkpzpvX1d9e2yJKiN9FFdqVfDwy7FkFDDKCIAN/xX0bFTm
wFdtVmIFf+A3rBs+SuJV7UPRsVy75bq5uxHcPOJ27tyyepvXZQR6T4TimpvOs/I39IvNLvVQhaZV
YoSK3uRT5bPZLbCK8oEMNaYM35qKkNhldL9lMn+zY967YUJRm/1oudDXsndQz2msVO1Tt3CvWwYr
//ettc4otVpfxTALoZAGBYJ7C5HvyonDAhywS8bcgjioc/MyaqEPlbfupoRVbFVNXZIl7DM94K8N
dKcFPjbrR1v083u5sL5lA/f50nCLZ23bHVHFs/dkLLsdxLjnhJjLPdfN2eUACRlYSLIVS/b6wCB6
YpkbYry//2nO/Y5P3ti30uA0j9eyD+E4NgSapPNmXnfdNLa7E8wKycPCcpFYI/WAnhYu4gTvR5v+
tdUwwO9zfgy08o+d5AktY/4XU1FBlFGgQ0Df3hbNN6l2qmtvEgsVUamjin2Bj2m4VnozGFA56sHq
dv1ceQc8SsEJpAbXLnf9Q754H7xZfi7Q626zXNgnns7hCk+Ns2MFWy3Rs38YmpySJaGM/v64Bx6X
D6Upr0CKY0iEagr1lusfB47m0M7X8f1u///t6LwGklB11Tf9P9bf/Lli9pGoWP+vn3/s/uNn9bUK
3/TbTz/AwGADvu+/tvPD167P+av8on//n/+3f/jfvn7/LU9z/fV//ve3L0VShgnK8OSz/tGI6XAc
4qjyXxs6P2iNhfMfso3+/Tf/M9zIR6piYrvzmKnRbPk/Bk4p/0XJytiZeFbHt/211Pi3gdMx/yXA
M9DVd7Bl0VvkL/3bwGk7/6Iuodm5brIWjVvn/8XA+Uu1szY3EG5LE9EBbiTLWcvrH9YojQTSQ/I4
HOpUB494wufbkjsWDxWH8ncjWLLLaAZN/ZfFGFeby2/+oXDnldfqCkMdzgDbYxv/+ZWJZ8ngTgzD
wRN9tE9ax63faCLPRGYOFrD8HokvHfV27F/zOiUnm7B2mFi+zAH1kVVmevRba8vedq2Tf4yaCFb5
bEHPEdZMTozfOkxvOmJHtxDouv442uR2YOmwCNCwRs0Qs678+d0ZoS/puS0PtuNI0hWK6W2u7OC5
MNMihgE4DPdzN5PsmSF/Ac2Ww4Lwa1wH28Gy+1cSNBK08dBT/KK4iKTivKPori4eEL/yPW3ATWtA
qAuxvmEXVWQSt9ZV147pfdBn8iXgjIDa2kivaKIBvIqZzRI7r7zog4HYJd0tyiBiDhr9llzcr7JC
pWMWmFGAUZ+0PaXhOMZ3ftxLymLgOaWs0JNaJUshmLCxnlo+rf04gJnb0MoHxkw5DVy93OZF1aN1
dKA81WPoT5XAtkFstBrps45t49Kx8XJESrBWvJo9Gj/mGxoCtHeBuKBbILwz5zjitAe0nvTFkCk3
ZJhuGgcuitd2W/yVMAKRs2ztqBtvx7ZvQK7UpLxEbQvDCv6qrvqC2AXRo2tEbNWrztrqMZE79Log
EsBYHbSr+pNtdtZeJI57EqYk5HjgJGq1fX8GV0bc9RjbjCEQb/VuaR8xVpDqUqvijGbYwziaA81f
GFgtY0tKoC2gsnSWygmNNcSX2hrUsRemAcbcM27AiJUnq2rgPC55h25W5CJUHTpz8M5RrDec4B3O
doRgqZCGsQhQrXgQEEdHdG8zyvGKToPD9w6RR36ENedfyzmx3smdL75oyUlo69PQRAcaj/0DXc0r
cwLgFxKomACxCZqTnpuLMoVxLpy6PsdLUb0UPmnFRBK2sBtNUkAX1EAjtSP5rKz5pll5HrpMr7qj
7YBi3YxcC416lZUgz2z3RpB6bm4nC+NUznz1gM4kLw6ZAVGmcI2WhmIhzBDuzWLv4BuDj1gk1YDZ
OoQ4d8083NtEAe6Fimd1VqpecmBSjfzYaR/xLhrh5Yb4WODgAN+iBwJPzJMJIK/ceg1BjAsPFLq1
kbTaGMrKkVQt8VS1kJXXjORk5mKuUF9nFtjALK/OgV9UwzOdOTfeMPceHzNvsh3EqKIdd747quY8
j4DKqgbClgcQ+TkDo94fdGGJb6U3RsFeOPaMgL5raGFvSLgwHnxPj0R+NcslA9eWIQFFs7gtmUvk
NPzI4AD8sKrAG+PS1qa1r/nH2boqkQ/94pYj76+AerwYt5GYv3gqe++K+Moa0kNtGhR5s43eebDz
48Ame+sJciUa0V8lOuPkB77+KtCEJi6WQf6kyRCsWAx9TOvmpvSW7q5JzS9xZsHHqUB2RMDLj2Yq
4eNImQGs5BPJmUmiKmRyF0fopUjd8MGjIK7gJFq9L1477IEDeTcm0DIS3eZovIIbMX0rioic2GS0
k0sQ+3bMDexTGCzlDNGwnV3rXaZjcmb4nV+oY28Z8U544zpLOyGo+s772lQzeMaNrGaBJc0oeC6N
VwIj2I+JOCnp+cGumEHmlEN/HzDqbjZxQhsYkhMdkn75WjsN60dXCUGbkcjWwJ4lsnz60CJbcNzi
jNmNhUpOlY6LOwSRUbN1nd7ZmtUYPcicWueJKqkFrzNn+pSpZvisjaK/6cY18IuTFUYB6oZbH18t
vLfKtgDCTJI7KyK0zhjUO/4ocvpK1z86/sQHQ4awJSWCqzHZ9gc/r+IL7hjAqNPIb5i4gdWY3ayY
3e2oomOf28W2KtyzzmN5XdtefO499xu7U3LDbLk+5C0d+g1lF01FMlKY24LLUbhyFoAjSaesMjTm
pv1ChB8wMLor5pX0yi4CegKsahcTNIUA3h3U9RQPDwmEjhedMMHJUQp+NckYIjzImUgO54E5uM3g
D8e69sDKDMPg3zQ6K54l39MWCVkLGyQqv9CRFsSlNNH7nOeWeOyagmVWL2WsMbc55rRqw1sidqkO
1qwe1e6yGpyUShayUHrzvY7dau8W3XLIbZBsMgnCNQnGgLhXbJHW2BPwwsyR4UiSsHVImDvCbK45
gGHSSfTTmNlQ2yOLZD/ZyXHacZxGzTSMzR3St/sI6i/QoQR0d10Yd7kW0c1kjA2/lNOKL/b4KROq
d1CBdqNIwlOngoiv3Ygr/pI27Ewu4kQnSxQfIb4OBvNLI6fPM+v7aezAy6MRmk/JQrazMTX2SqD0
CLaJjNC286vaz6fd0rfuwR/A00Tg+8MlJvSnImftkrrqWTmB2jWapJeRblw4KkdvOK90kAyNJX4o
UJHtqpRUxTHaQQ209nru7SsSWmB9IgDemIZMvkxqxQ0jSbrOO3+VT1v2ppqgh80dGTGqi9pDLWey
OHJr3FELOrBlVxXFtHyIcqJK7KKqd4XHhc2bMrrGZoIMoqs/AMUynoKqbI+a8cBaahDDguGSw5Rv
HViB/Itya7Xzs9bbmcjpAKsL7+iljtjgqbrrjJnHt7DF7cT3bo55p7d2O0ziABEdpvck1aH1idVz
nJYo6C4R7oVyAcwcs3BYUYCt932XdHegPQI8brrDzQRu6iMajvxBAuC9mEGefesm1zsZbDkn5rzj
C6GwHuesqRr2owuwdivIFQiVNKNvZrwwL+Mss011DoptbZQfmHOT+1IlVnynDCKRtpkazLOnxHQA
7eu8BVbbXA3Itm+LQGcI0sl2Z2zc296ZvAZ0IgNN+LNCr/GoAsu9mP5gPc1NGn3NO2RqGJP84uC3
KslYmKzolGrTPWOKKs0tdo9gp5CGnHlUugQT5DyoQ0U+wKGAuPLsCB+tjSsGjcsXpX9s5+oL/Gz0
/rkXyIovoSSgwfeNJ3Ts6TGJu/mSTulyKM15eBWuLi59Q5zhZqF8uJnJG9vbXR+UZ22aGZkQGAme
IMbPXwkCLHhMgYg/0GgfHoK4qgm2TTygtkXUb0dK+30aZd2zP1fmTQQY+RxHoKpmm2Mhmx90xA33
gXpNREPSR2HmF3cygISNhTgOZTLc09bSVJNedOd0FV0Axviwl335auTYkxqI+q+OiE5dZbkbT6ub
1k+9K9tXQDHBLpA94Wc4tjZ4igA0LQjaPXtJrmjgLZtJtu2hMmwKHry10xYpDAapnhwn8LmcG2LC
B6LiJsLcdgjystnYQ0nBCGjygdyi5cQ0ARKuX1ofHG/AZFW12oHwO5LzvRh2at2xRbC/9UoOuPrQ
3IRFhx8mzxmOBwuqW8/Bugspp4EqCiRc5sEb1DS8HTYIzMQv54M9pKs5u46/ULSQVOPVOgH6mgMO
66e5PBTuiuRthu4jD+3yYASYqxd3wkne8iK+gfc/hS2+cwtsvTQz1F01tfbN2JkD6aaOPTX3NEeb
/NHwGEOEGv4A8Rs9B7xtZKl0pFXbTkyF7IGABYnYAKevPxgHt67Sh0KM6mmqreTbgtTqEMyeqnYQ
S9ShZ0JxX8+29bGvAvGE8AX+7NzawWu/qGDZpUlSPqrCiL9Mo5fScyZGsRE4GACJJAlfR+1NDyYF
6tfWqZYzUamOvymSqXmYW4u1YiHrlYKtA5QYuxpDIdRDluy2c/oXj6/7LYuk+MBM1WuffLrj+iaq
GuHsFuAJOLU7n+enSNvd4ADM3PquIrE2KJTElNRbc3KqLW5CzDlGRN/bJchUF7NHOlPG0ytmMMHE
BQ3qUpEwxCDVaeob1co4ZnDs2NeNUUuL513aRHMPtTo1Ve98zOFjHUorqJ8xmvdvNkeibSPq5uG7
dp6pNkjQLqw7378AwXJCxX0IrcAz31IZj59UGaRkEbjJc8oM/NWqK9ffecEsPnoJbo5Bj/N+CPzq
1l4c717Ra1QbS03RUWBCbeY6O1FRx1eTLcYjkLfl2HMJ31CBDlegLb07EdftvjDkwdKVvE1kOp81
+uSwH/r0oRSGuA600+M1DbQJIwlZDLz1BmmqzOfoUrUL5FRXRtcMqT6hJ/5iDMV039cmgsipacmz
dGxCPzpvCL71fi23MdjovUBeHuJIj59bjEgvY8qTkxulfknhu6IiAo1Ywts9J7ko7rNKfFMiNvHs
6+ChoZy9y4uhobpK6q/Mixjwq9E+lqSHPoFg1meQGebOWvT4jIUXE6ORxTcdJPe7amkdJhlEEewK
qybeKBIj8RWqPpHNHt8PNABCB34gjIh0rO96zqTvzWyL+7jA2DrT7N4Q1NDeDgADT8xwX3pzIsNo
8mHrMbZ0+h0mRR8tEFHyWa+Xt9jL54019SZdMocaSKf26xBX9vUw0MWAJh+8krkafYoS1nxXUaex
rQ4Ps6rmTzDlyptSq2W3wFS7xvOcPeIZYLA/Eme/X4zaODsgBa6jjlt+6FjvJT3bT0nSlmRm6uRt
pifqIjbmSE1cp7z2EXhDuJ15uhJ2FUapCWLAgD3FH9ds9pkzlhOtMZ5xCgRziJ5z3+3Obh2lz0bF
fdWhUuYkSC6KX88wAWPHukNKap8jOYyhMfT50zTX9nVsFOU3MU5xgx2xtJ/WKKgbs2DP2+Cpd774
KuOEhXygvZiqC9LNEqXqaHCjWTsnH2DZaZ31Lz14VRVWhqhf9FQ3AeeuyXoks7l+kq3dvaVGTG9F
ZsQTh1PQlK9dl0dvozZhpwaK9eXSVa13t7D6MbQsM+8qLXOCIQuvEO0+zfzoTemR85XbJ8774JXe
MxoW8k9p0b5No1XjVDblCzx9uteFrq4UlRq4YNYO3lBaAJj0830ySPEQGKzeFhzEI1eyu22tdV6S
DfqNpvFwsYYmwT9EOHJXQQGde2feM6StiP1gwahUUr+20kwYcBbGA65jd5sW5GJZcqtZ4qttWTFV
rcrGm24CXLjukeS6kdZ6QKxyPyrrueS0ATAxw4c9MG5gbELMypyCjtyAhlcxvIB5fsk4Q4YqSly6
wgmART488rFBRByobbQfxZ4qoL2awYd/tIPEepIp2hu6zAvvweiqh5n0mYlGkCqfRUHqR5Y0GHPk
XL5hqZ6/VdSgp9g1WIYixl/Ei1V4zAyDEXTyThrKOxEb2aaX81s+uXOo2Zq3o4Y0DOnfXIuxZxaZ
6jy33aMZjfZBETJ2UQwx+TYrY9PTew4ZuBKKVRMa1vsPOunEbeQgdDOVAGbhiIIuwBRlJ1eX5WXE
EHyCW8XtYND0Oy9F21dhHjvrNlXs4Xk3YSDhmwMd4UkzlgvQU/8aL2mMwCZoD1YQme/Q7BE1WybT
pqysCv5+3ly82HSvB05Qe7yQ+iGdJaPx2DqwN49kohJJsyFJot32hjsecgOzMfO29hb83e3aE/po
epHAelGPlhNmRpneUtmRdojQJb0GfuLR7epcsIpBLHBophw8N6TiCvpviw6dKc6RT8qcKJmx9e4p
DXKBCz6LbsmWwBY7yu6oReyRWYO13ulMkySLmecyjwIwHBapYRq/EXj4vmovgkhHuRW9Hb00aiBY
u627j+nsmNcp4SvgH2ODBVwM7r2T9HC8ebVt1TTRXYzH6Nqs8TxuoqCSl56k+KNTZenZTubuUmuz
BjaQ+A+MeIB0jZhJQrvkOZ27Qd/SXAOr4Dooy9E2F9muGQx4A4uo050S8+dgaZZQoxMD6GybX4xF
ZachWqJHj5Vp48kesiZpxZBrFjJUVNqrfeuay20A3eMQ27JqNqT0+tdTput7qEYmt15DHHhsOOXR
q8blbRpyea5dUjA8t2EVnBib0m8E5VnTvIIKiMLyljOB/ezFQN9D0xyouYg+cDo2M42DX8kZZVZm
Qde1jQ8kjzDAmsfV7FDAKcc2N+3SKZ/uZWTnW1xsxolw1vpsVCbGFKNsPpkMfEJDVUnYFSk8BGL0
OK4fMqtobgez0vs2Y3ZuLRMbKT+6Jy384iqf5Lh30OrJsES8PGNyifSOsBeecbRv8ZqUGB36rGnX
8Yw93ACF6p7JgrKe/bFUYd7PabyhcwUrlsRAUpryMuOcPCb1UwZliIxIt5vmcJFDWu4NHD/VhTQw
m5ZsXZE7BeuOGzLOlPFSpqI7+2aM5mKgiM62sPvhuc5xm1wq6SWPkE/MkXrGoNm7YIYb8f0m/bdU
Fsth6UfvU2YvHkbioLL2sswN5oApc9i961SsW2kTB9jocw+GO2gw56ED059txyCxV35CUL/0oKbe
B8MESY0m3xQn/IGRd8bfL57Q0ZSvjRONBwP6xO3ECFyBh2+6+2FWYMhtsD13Na73B2cQxS3bzUfX
Ym4X+YR0WaiGPxmI6ff1TA5y4kjn3Pl28YylW9dkVU8NQqrY3s2lRQbLrE9chWXXmTXIqKTD/O0y
r3zUmoA/M5qXJ9qXMIAbW945s0eLIR39+kr1C3JY3Tj+F7oGHjnAJUFDG7NldIDU3hChIcf2SA8Z
cmyrSBFLfI8NghbqfI3jSe76+D6pSREP19HxU4bj4UqR0CYyr8Ucn8vpOrLZCY4d20yxSZZYv/tx
2lXbeJ76bjNVBXFYdJ3de7+GBb+pxzkPMPDPMKK1Q6cWPa+PNtJxqnTPNmLf5SLQ9w5W7Bca5+O9
4fVo3AMLFHYpuoPGHfPBAdl+66Cb3CW+MZrkGdlz2OVuessADTdnNfreJ0069Mdk8vIL5PPhrjVs
whaB1sbiAgmcqYtl5fw7JowaUzhV1lZLY3gl0AXngUdxvY9d8rHMOJluyS0RZLdgNim3GRfivkrb
xWB6a6svkRXLHl27ZT2qiEbvBoVZ8Zgm0oZ/E3GADlCfs51Cxib1mYPUVDjuTYv//qFRlflgE/h4
iwYKpPMcJc3HZfITqGApBrmh8b1rE780bRwohOUx0YRlgEOyL8DWPIjaTWISE9jT/9z4aSHPhCFF
nyG+L291wMOzG2MKts1gkuoRDktMcDIW3vKwtEP+wt2GkrXECk1NX3bTbWc60Wes3OsCx0Pkkrv0
gjvGPjkEuF6bdinPcRwRDNkU3YW1nQ2oC8wvnQCaHAYk/x7G2jA+eEZS309eK8+MlpsrMerhtDhx
/63rBYZ+bttmM/pBIzeNnqavXhoVYZv3IWcIJtja0+WxFIs8I9klx4uIkEcxDe7ZsLGpLNncfynT
xsElhFngUMPFP6ZCTtRoqmjerNrs4p3qZfXAEYnuN5EvH7LB8e/Bn+SfF+bjj4vd8q+WdahTQ/Oq
NIFlLdpzxh2J7Iyzzsxx13MNH8ux05/ZgQqfdJ8xeEKVixgGWYVNelwX3/WF7B6qas2kXFhbyATq
BVnBptZ36I7yS23xl6yoSjYKEMidhzjQ3Zhz0X9aaKutG/JgX/s9XJhIcioB5DfmD1ncIAyIg9Su
HyPyqu+njBFbTHFzZZoJhnvOmnhHrfihs8nQsrPJ3Q5Dw1FDkJjStlZM3sAY3RIu68FQrtQtT7fx
PlnwyPnxNSa7YUc46vTGkdm/IWpruZvJxG0sNywykA1NXPlbOw3ma0/PxSPBwuOhrWS1TePgcU6g
OWVejvzZo3V50p3pphtnnJJdapvekzPyuUBX8vDMeKVEznO9aQ0cPQPHVyY0PR0OIykigmRT/UnG
lXcXmSaJhcKZ2gdBQc9JIHdJ9vF7djliEepzMhD6hBxMdR9VNrWQBvzPVZvZGTryzr2NlS1Jha3E
/UQ741MpfeFuiEBSmuMu45u4524aTXVkVY3uqqT0twpx/S5re8SOZUR8X2c2PfFXVYcxirZ7S5ae
O85IiSgRLr0hyxeyNWaKzoCSJabDmVkrfkQwbcFBa9XPzFM1DHir2sWNro4TweKhKcnCgPvvY5Rx
XMFuqiaGVloXnzwn6q6ZHfaoJUFiD13ZXcjnIcON7f6jKWOT7Mo+940tKsHg3EcuhaxMmVs5S88J
hoDJ8dLZHa2conFIk0xj2r21+1a7AsR8nGvjFBkddyQ9Egww9DGu9eSyyAUSdttGd/GjC0hmj1F9
fPrf7J3HkuRGlrVf5bfZOw3KIRazCS0yIlKrDayyMgsacEgH8PTzBVsMWd1NWm/GZsz+FYtkZUYg
AnD3e+8530kgzX1Weho/Eo6tj3gmQTEBHryu/2HZ37hB6lcElozje50xv1ywKkTPtEg5msyotFip
Uhbjofc95jAZbtRllHXxSQtIHzmyw2KtFYZwhi9sXFMZkKxcecaRixIzt3pDMKeyh/0ku4idC9vJ
vmmlclYqskpF3EY+vdR+ZjG3AUxiWYo9v6xBQ4XEXIfLKrwqfToP43SfhKzeHYwg0nvdltTc9krc
y5CTBEaa0MszmPgtsrFit7KQ7ouFSUDPWRVYwxY02siBTWN2sUUBTJ8UbLe365tgJDV1CXo32oUt
CKtlAdThKR8a5ihWmR3HwRthb4RC7GmyFwQ2Nu31P2geOvLwEuuJma2dLzQDUW9ZlFJ+1kNSnhUT
1Ds2L84uOdvlIpRs7fvOKK6sL8gzr/SbrTVRcuIxulZXhd/NG7AnY7d0mA+uf6VxjaA4SVwbrM/s
Gh3U0e7biDBr4qUD6CncSFQEy4Dm8HEG8HIYy3o8T1dnEUpsmuRXYyVjGmCesK55smBeilTfOYLO
aNxqquv2FThnc5jCMt8T4wWpJTPJjp1qpH9IhU89x4mzdV2doxk8DNZdCMcDBtwQOtrNnMouXph9
a7waok7OLcDaU9Zoaw2zP/aXEChaoKOYi2L4VXcNhLKbKsNz14JsWZMdglEeIvf3XBGJFCm/uSn6
Kr6Ec50icE800Sm5nr8TIR/vIjPw9s1c6R3nddrEAGjk5n9W9vM7EdD2qzp/K77a34uB/ldqg0wU
PbgLEP3/a3nQ6iuPk98Kiv77h/6iDEL/Y9uBROcDKcG+/vPvyiD3F9906P966HN+lQb9XRlk+b/4
mHPQFZrBVf1joav5mzLI/8UxYGkEaILQOuLT/XeUQcHPAh3Dv/KJHcd08UID2P2J3pCUUhHEbtXb
pIln0pV03T32Q6Rf46EbLvaoH1GHi/vS7jjAx3kMMMghj0gqE+OS1Gn+RjD78I0MnGQfgldZAzGS
TAdo7JlO1xFykEgORsZ4z6/n2HbtAkZJkX9Rknww13VJa8C/W6fAOtjNqlsV6PARRSXqDYIgXuzK
KYjohdQnyEWHKpplt1Ml7+GLDaTO0Iwcob8926lrrA3SyYAJBjSgs656YNF6HUXqwOHALU85Nq5d
IfSW8C2yxCyLCrFVDCmm+gGtTbyOr+sXJ+zgXo0CnlTf1Q9O4Yh1G6UFxFOartiAsIGFGYlfBoMu
axrp/BBo8SMgSeNmsKP4w8cGhRKg7T760m8fU3DMWyjf7gBM0A5WzgAYaJUW4IIWtRua72SZkxTn
yH5tAEe50eaop6U198TftZwV322qWEW1J/HK185gvFV4zZF+KNhbfkT29aIZ5El2hEctJi/zn32R
t8e4NslPs31CeSmBq17/Rdf7P6YE/D+8JEBfuKrQ//WS8Ngkqm++/bQo/PXH/pr3YLEoWAjjDEIL
kP95PJb6q+3+8z8C8xfMU4Hl0El2Tc+8GtX+Khe0nF+kdF0WBX7EB77N//rbomD9ElgBfUik8tYV
MO//O4sCCr3fy/YQatvMifiFLksPeI2fPEUkbQoxsZXuHFQwS4LirYXQ/q4Yipyzw/iKD+l6TI3z
pSSPeTuTRM4D9YJX8bXwcuM+rOmxyFp/dlPigdws+nU3uvRlhEm4bFeXDxlFy/GK+FqgzytXM8JY
BL/pHT4qTIOQepk+MCFDhXSGJkm3LJliEMjyFRlGvXH76Z5Ysa9C5bfmRCmd0+lfMtdxqJbEpxPZ
ZxucA/0CUb8jHGHBcodxR2qBi/zCDnnVaHhP2nyHWPwGEfEQc3KBJ1m4ETPokGrdgn5h1OTTsMaU
CAk8+0i+z3xQgsT2uKR4WdC4KjSu6uk5DKJHI8m+6bh5zUAl51h0Jwgo2ChoV40c1JB+M6iZCH6w
nP4eYjRjxcy5Ua457q2McMw5nKoV2W8E3dUkkpED0E8jsWvS7H+YfXBuJ1IRzcb27q4Gv2WgWLDq
NttOIEexx9blySOQHRFEG37YKKd3Ll7WA7W3WmE+sZaV5pyQgQc8kEHgfnTu9N6MqCbsYq6v+LN2
aQUgu1Vpq4/eDcSJJcvYB4wPF0mn09WcS4cGfNMjFqm+0ALQAqKevTRE622QTaSLPkX2YBoUUrT7
nXUWMwfQQd0c6mK07v12/lQK+m2Fqfai8z57tavp1fFJYdTZRDc/SEFtt8aNU2f9WlUO4bcTKeHZ
kP+gfMl23q9ZxxBE3YG/jpF8isnM8rr1UBgHOmPcAH4GJFQ18THx8sfEdR+9rk1ppnEaK6IxeUSJ
0a4yD8RBi24Ha3mU3+uOE5lZDBmOucDmfBm3DAmcJ88GB+ZFQp76tH7hfg2+RqPs1ga18Xm2yFYt
0DGtB9U+hoIw6IntpRqhEs4tg0UAEgNVzLYt0WLQdHrLy9HYIQK6N6Ua11nnqQU6jXbDya57NqIB
MZbr3w9T8Igm4ba0Bfcsz/tyiB130Q6FDV9hICBjHNsoBPph1c22oKTek8CEmwWmqLrlgKzWphRi
FZNiR98WgkPlRHpfJKbauNyDl6hrhwOj9ARLET7QPI5ZzoJ2O3eKQy1xWDDMG/uIqyC9b1PH31qK
2auQ7bMZteNDQU/9oHF67MwOQU3nuDBLU2ubJUPxnKdZsuSrQiUpJxQTWdohPe1F+NZUhMOHmVUj
lGujwzxpt16EjHlQAsrGWvVh81WpBpEIFFIA2MTmMVEa76LRC1ZqhPk3aoRiXeseCLmwL0YTMpIP
JfL3QCd32sxjzPN+f+EIgNWMYc73bgpoHc31wtVetfMNDhgLYjzvwqxjHC1oW06k+W7YxwGQtqFH
2zZCatFpH4Kf8pOdFcsyXxd5URJrYbirQIv+ZWoD94lztreraQi/gLNCfG9gvZGDkW4TxyMZzaun
Y+3J5Alucn0TVTVdjhj+7n2OLPAMmnSGSZWnL25pvRgxSdWVOyESisqdasdb1Q3W16BM5GHaZQSY
tLgl7MFF2Ev48MGPBWSRVn2Qoqq/BrstLp6y9QHFABHqZCljOyUoTng5MW5z9OI7uTrD7T9ClrJW
iGq7CJQ5iEhjWUx2dQ3XpZQLLZ7cxE6J4MtCXAqxd3TyIr3Vc6huQrNLL7ERmMvK6G96NxmAOnT1
S2n0/cKC+XHu6qmn+Qm7tU/gbBXX6ceQzunTgDpok+tpvg9jmjqyLFYWIo8VydsoA9L+jn1IQOIK
ARQbMvpoAHjuzJzSb6yN9WxfY1KtsruQoCqxVROFSlJDvyqt5Gb0YxCekVPdkW3JBJIo50VjeoKI
Es9aAGULseyZE3ZFwoL22C170iBrufp1MGw0WQOxsUMRV9CTI8EaNZZnswon8gvoa7kK3NxcOkFw
VzTu98TywSil6FadgP7CaCiMLkOqMUq2My2AkOUlxCWONuoZqBC74vU9YC8kei6BcV51gfXio3Ja
0kNy17CzghNoVQs65yBhHWR2pD8EIQkk3OF4fLSU/0O26anQPasvAHcdm2u8BReaesFiHDJbwAWI
NX3UGKOkn5EJJtJ7D8HvyTPcFF2E765ri3gdMvmeKeu3UqBuc9kTUOuK4A3UDOyoQH1WIzeU2+aP
Q01Ib8qwbVXmxnke5lMR1NOS3S59wlYBL02IYNlcv2kUY+HGHiLOwwVLTxeUn6U1A9ms3gePJGni
lzhO55YXrz2cMbQiyuRAFMEtHInm5BukiUbQexLTtZdTOPjLCtX0ip4gjrWZOZ+TevauHbLmMbLp
Z80tfC2XDtLOHqtvhmAVAle5Cq1w7XbyY0ILrh35WfQl8VId6noE5H9xzP7/4+6fuGOQGqBGxLTx
r0+72z791nz7nafm7z/11wrY+QVmjh04LhZ9C6MZDpi/HHZd/xeT3DPE2XhcKWqv0J3/Pux68Cpt
2qaWf62a+aG/HXaNX0wTQSyWcLBr1wL53zrs/v6o6xC6BpPLMMkOMy2PrsrvHSqBlQzc/qO37iTl
7WKeGevHFrqA33wot3+xvPy/si+urdSu/c//+MmYyMug3afURhSI71raP71Mi34qBWDlrl0nG94H
Q/gbeGERcwpYVduoUMP2j1/QpBpQv7XeXF/RBfhJNYCNCMvhTxdWzBkxkyFR2uYYFAuFIDBmek6q
K/YRG3qSWyQPfu+luy6ESIsBSCzqoJjfywmdr1EH6aF1Y/tgog9aU5Cm7DG5PkH2m2/MMVN/4vT9
GYXz6yfEV+5IuI10iX91Av/GpJR6Ipvw0mIKCaviU8MLX7YejDsyystgBS7XX6Crc/Ui8avPpjLm
z3709TMeXvK0+quiqe+zp7IaOzqgZF7/8cf5Kw3m54/TAz/g0bKB8+n/5GTyAhRazAfcdQ8l5ZTM
JurvRFb2ymt1TEbt6NFjQEt2zDt75JBI672LrBFqmYfzlLYy3YKouDD4PJqmYrIp7sbIlGRO0ELm
zFMP2RuWM0x+odPc5qTOf/SRiQx1qtX9H1/LryCjn68FZCe1oo2AlX/+/tbwk1kbXW/Lterz+GaS
jb/U42hFq1H58UE3pEYuC9uQa0FiwSdWiypccA5iiloWNEBGyoO7fhy7N5d2Bt3ka6pbJuTraOJT
buXJayC7EM9LplsuwM3Y/bDvqjiGVJO+KVkz+w3la0Ar/NyJflmWaPqnBK37hBoqa2Cp071giibC
mbDuWEMCtxIz3CAac5lKES+KqsRhg9X2iR5x/Om7TQSPrbfVUUL5PHUpEhNiUy3jyMxLT1RdaKFW
FUfr1z/+LH99cH/6LBlpSGp4oEWAlX96zBSovEy2k1yboV1cKvhXwHu0ccN2vYUL+IPG8njpGba2
y4IzS7Hrm1z/cOu8+UCy2J3qSAPathhi7wlFyLEnEdbO9Ngzl6Bz1C25uy3cP5KVjpEqps+g1+YD
cp3qGOQYNEyiPW7U7EYRER0oVabIGG/8rE83HdFQf3LjsLL+w5rCk3ndEmhaSB6F3984yjfoSF8f
gjarh3NUWD2R38Ra7xXL+i2B1sGmNqkCQzOnrV370dFWksEFGkq1M2fHf5ItQNpGR8b3P/4e/sn6
6l+XEIzquBx999rn/M3qkUdTAZBAS4wDllzaTfUjHqY9zJdx5Y3D4Y9f7J98DKB1LToukIRMlvTf
v1jF/kAaeCfXcFG8V6OaqutTnP4JhvEfWrNkq/32VX56SnMf7H9rN3Kd2UnyZeC4vZn6Uijg7uW0
+eMruvrwf7qL/QCz6XVH9W0Yyr+/Im7JVCmrlusSDMMR4MX8iWXRvXEam2n92LLslnQQ6I8aRnkb
lGGz+uM38E8+UkABWOh91n+HP/7+DVRCS1XHUq7zzhueTQ0PfAxJV//jV7Guv+a31wmbjoMDwGKW
cBpl3k+NLYsl15/ylNRf2dyrK4KzMKZtijh+LB6rILmMpb2k6/157cKClBEXYrFDcGwVdH1bT6ug
72kPxJQdbqv0ltD5jkkjY+mrWH+KjbVKIvLp+3gPS4vK2Q5mGgW6/kKu8Cf22p/vD3A/0oGyB/8o
uJ6rOCH99pafnZk4JyQH65ptBzsE0lMX98Jqdknq/uPP7R8+NqYN140P0K2Lg+Ln4Mp4Rm3l9SJA
1uRGh3DKxM4z5it3scw3dhv2Oz7q4E9elKPgz081sC7WG45LrKyQxH7+urTVSavAUrgecv0oGdSu
7chvtgFRsq92XRUuUuD2XuApayL9RvheuvGQCn9LI7xhjNqOnH3oivseKlz3tlXME1ncrsMOvFwd
Y9Y2TN6g3r9VA9YmA52Z7zPsbovQWtQ55SGGpr3MBgoTrzVuA1erJcwn8hQnBCRC5sR9GZOxwVUi
T34VksuD5UtZIt94I7azgCktI4XiDpItwV3ARHmA7mnTL1n095njY1ip+ssMIFvNnyAM2ks5F3LF
tDR6bSvRX0SdWhudtmi459RcEFNTINzw0m2euCX9sjpP36ZZmKuxT8p4GYzt8GnlKC2d2GFGXXS2
8zZSv24Co3hUCk2Qv+25ziSNzO8IV5s1vgxkiyIq3uFpJDNqRtlsZJ2BAU0CtRtz+ou4LIuzU6fZ
rTm6gG8s4ozgKiMUN9ETfLV25p8KhCGbxIxMSuwM6AqU6RALg4ugJWSXes/aUq+TtsR2mE5LLEIP
EmH4CqEWMs2y7518CWJnOuJGde7CeKiXXjKtR9tYB9W4q+Jy3lq5vQtd5lMkjY7Oimj74Mek7ZtM
94/10H/RWyXFwKqyDa6zYh34w0sR14e2GNtN23cDuq3afK7T1L6juoRbN6kKRvWUIxgLZhpsdn1X
BPPzGPX+acjQJXYKD3OMeyFHG4eQAV/5cGnGedyaNERv4RkXn2XL19Y3UEmIdop++EMXbCMycncM
dNRdm/vma1mr/EUn9rZMOySICWEdtxVMxzvkDz3DqMiI5bKwahRd6TA95dGMHCyc+ieFJmVZi2Z6
FHGotqoS2VmoOtrNI1O5jIPWme5kvExBOK7MuvB4ZVedw1n060yPxhpjsvlNhGazr9xKnq1G1auY
b283p0V3F/f5RzN4EzFzXKE2pNg24XCL9pee/qNhmjg6iulSh9MphKCxpdOi95WZVd9DJGCPlcEt
Wds9XsUeI4dfZ+aBzhMi066mbg+QDldjJO+8Wsdn8kpAZpCfs6wQjvzwjXbciMGZDoVqigueza+4
lm+lYaCobU2S8FCAJuMLpsJqRw9TLKYJoVlsjwTAtfG89zXhTn0TvTSqfWFqSAZnJ83mI6/M7jny
MxdqYl1sA3uq1ioktJLKp8V/38hVEzTuDpd1vmmEH6GY5U3Bi0KD3ZTilPCuVsoM+ctZec8KO+7q
otZ7rLK47Nwy2lre1XU7fNkyAg+IJLzFvELSlGGPyxRp2dZCU/4wwIBcD+MgNhk8wguGPjRIFQmL
dj99tL6s7vNGuxfZsyrwDM4rx06GfV7I21kZ9l0fF3wnVl+VKzQJ/cExW81D1cWbONAa7aZNkn2l
biB34a6yXQRXE7FTMpzjp85G4ZDZaj4aRs0FVnW7nFDbIYxoEaG6dbGQZpx+a3uULkMk9TmZw/xO
Aig8kZFarIUiFDPOUzi1yVsdY4mO3LRcOQLld2fA5BqCYTWKIj3jPieMRozWd1unNPz9Ol3VAUDF
BAPvrSUKJkUhpZ27sQvn2Q5rwrzsCMNQTJfN9LIL6AEM8uF0pAe/7G0INVn6yJi35IpVdmcbI6Cx
KbE+jXnM79WQctL39exs09ZCWUPHKMWx6l4ayK6rUsUECI72gxmOS8yQACv7cEC708PiUf0aRgsW
/foYI/zCcPxRJnTXwbU7yPhca9sI46HKwMwQH3kq5QAyqq/SeiGxcr92M8xyVesyfI8oz8gTCwtv
gyego7qem2NHSxwVqb0mrSc693PrLztLm8tY2zMJBNV4zQ5rUN0mAX5A2ZYORnVCErC2oVCxq22V
ptmxssVwK8yk3mD0gNlUVeogXawCjlvf4R3HCIX091viNNW3mbSmK6g2eQ5L32HE5iQ3SdjYr7zr
ag0HVJ7LISE5efTnbeyqGCulSA+1byB+J7DyvrGgn8fEQ++GpO+XqkspB1GTrtqoKvbKlglLv0Sg
1WTGKdcKlEPN4p0mzV1j/shi+ghI4qb20e+8ElNrrG4tnU/3+Ob9o2ry6ejNXno0HHtaO3kXvkD3
mV57MPbLwMrNe1IwSBEnB25/7YZunQYpGwG781KhMtsgBfVeFdajfRIH1SG1I7bbeLo13CxejTRN
b+nsMJDhakF7TfKIWlzehHYvQSYPxiPRR8ldnnQ2yirt36BbYMgepNFpKHz+1AYDPIP0UxV1+hhL
OuKJExk7btF13bcffiHjTYlJkugHHOAka8axmREIwbkf4fG0b3HB2aI5qP4ijYSut1sy10pqoH+j
3y1N5YZrgTzsZMPyue9oLX/KpC5ePYtGpRDO8wRVeFXFBEKUdTdspR4azAQkoW6Na3CtcNwCYWYN
28LGXeN4wl4lBohJD5bDg5ADRPFxzoNh4ykZ74n9VdhNHGeRm9hEZoe4KZjJjVBE7rnOPo2GeV/6
BiOBzrv1+Xl8j0BnmZrmpzmpPyEJmWsja2xOwHlTPpRNfxatvfNacAt+c4DaHN3KLHBXIwm0EETi
dD/YfM6Rl8hlbWM1oB11aiO1HqJwyUEt3DRhoQnvMxneYkIKLtoM+kvHDOiJEhNDAEpccxPgKokX
Xjs0Z4bS4bPXeOY9EW/Gyeq0OthRNJ5G5l6frUwM8jFqhla65M0Iw5Ff9mgE3/0kLg9ZAknFgtl0
MgnMZexZNiaoWmVssKrZcEtGe/pmBa13UwztJGhCV+W6CbzyXgEV38d1OnzlwFgZ0tpCkTLuD9u2
UjbOPDMxn0TImSQlEgr8t2S/Hmj/EP7rog52tHLYKvs6fHSU2fPlX9PHW2gH26m2Zc45s3YVcXVQ
45G35c+VZIreeHMerZo2J1REoTIO12lvxy7w+zQ4Yz4ZNlZGKA/wGrC84CDkW1SzBXkqzN+Q73sw
TxjTE2MKa0DrIjgxwFW8eab7BecZ6FaDEnWLqVzMlxF+CUemplUXNcXtKR1wnbrzh+OlLz3MAJIA
J+tAGC+YlH7GXGrxQM9FTRRIhlrenqs12ukSyTXbjWGRR7EIGkB2tIjGVVm49Urlfn9j2Y25gY0Y
b67zU2jwXhktmiIc90OsN0QBo31BrMfumjBZL6pi0U5lehRjop6JrDv24efsePe+th4bf/hm1jGJ
lNG7zNrX2HKcXRGJ4q4eDH/XGiUeG6PwbnImIN2KEGwgM4bZNosK/dG5YBAMYi6Yd0UuekhrucU5
yZflKZBN9yDaLFuZlU8UlqOs/syMAoNx60qJUa3EW8xb6G/rUEZ3eTA+hCjYd5VTlm8jVFFEN9qw
d7SWmMGlYfcww6LfTmMl1qVS3q7EeI9bgW3vs+99HOiFiTIJtCRpdPY1V8H2sQI01R35s3o3GGb0
VlbQBBqzx4paReW4jIKDXWbqzs1ouCC6SOoVokG194CUPKM+ZNPx/cHGDxihiHarmZrVgI6x6EM3
+cHPlNDRilmtCD/A/MQxJnbQZaH1zrSfrjn/txdkk0m8vkYzrhsrKG6ATAvcaYTpbhDXetsUWTdL
rlPZcCstsSET3H8Qo0fB4NE0fELSVb1RsBtHWhQVKAEr4OHugy3p1MieQ5hwDMmGoCg/O5qOm9GG
T8gzjMPDBqVNCOJ8KwYDk6cX5ByDQejtGfCJkxFfNRrGSOBrHtfhpeHwgVc+K4Hj59W2D8k8TWzH
PBaRjybVOFhFCx2ljxK8C3X84AyiepilLZb4Kaa75BoV2xaBe3cNF3iPZR7c95llnSwPUyC/Mvp+
XQrfi6iKH3pd1JL/mJnHJkXyrVIRPHlz1z16WZAFq75LvrOw5Od40OOTNqYEHLSXVYAh2/JdT2XN
NcTZLo78+SbvkujMHLa+G5qxOlSpsvcq6jsQcQU5Y8KKXhAThRdMFSUPEL0XhuvJseDA9lIECc76
BpPeljOPUti5EKP5xRjs6sFjvk6XIbnQGRye8eVPn6OYikMVDG2wwIzV3uEK8GinzM20KzmvHd28
c7+0CWp1Madlcmdzq97VfjoxchfasvbSoz6OYd+Yu6yhKbsoSYvZ1Klf7uJSpy9tWzRvdeoYeEoN
BgeLqp4NJG2RTp96UwbMdidz7ZAAAZ6/KChsCDk1biDZxmeBCBlpQqV2QwjQQ9hkYKV4mm7ZJmFC
2jM5omzEEWNkf3oGbVU+iUTkqBGY/GJKA2VTl905867WL0wSC6JY+53iEsRCgVj/wb867lITNAXh
hIgijdmsZtYxRr68F3GUrLyGRGAHjBEuN2T1T2Zn0jA1DM53/O8atW04rgnwsy7mUDSU9xx4zpBl
hm8yDlOiB1AEr0MTqR0DS5xd93Ycd9u8tjnsinnq62PltKwM0YTGA58fMQajoKgq7C2b+rQdPbfY
ZbYw7OciDNsfg5XmlNZ0DssDae2uwzh5kvoYTIkLzSg0vYmMYWTDK07SQlwAm3f+0ZzcXK9HKV/7
Yix2asbClc82YgeR1NOiGCrcnZzw04qnHWYv8cOFvnQIO1kK5rkfF2GWBPGmIHcHWRKub+nNvlpP
bTNZZLIacHndRDKo8qt0Xkhdi/1Yy+qU2UH7hCsBzuvVnKNrZIhItMYfswrm4qpr0odZVMWHJMoY
ZmnOFonCgOXf0IN9U2BPe7GwM/0AK4LDZ5bik0uv3/pQtxI3peoObIUsA3w3ZMBPfeE3Z+lH07mt
XF9hjZjzzYDO4oZuWMR6jhhNrwY7h8AUVuqSDIFxrnBmvFNaUi56uvY/UhKq6K6zcL/UhCtla9/W
xxTFT7XUGrsgdk9XAXwIcLEqJ3xlpMRzNeQJhV5SPZRD6N+EjYyyjfDtj9yiAaWJgHE6hF2KfuY2
HeZDlmmysGZaYItyFhFcH9RHYz92sGlVdFTYrS6ZxJRKTm/feIt+gAIylXO3h9NmrZVImu6aYNO8
IGMddinb13OURWHHCh+7KVditodmTrNvFceltdZVt+NRjfB09eatalOBqi2D5IGqVYRi2V2zzpfj
OCGSkV7MLjkyzk9Nk8KAavjDkrVPesAcHa1h/GrN4atpxZNBCbDI08TE+uSNK7+ynQ2oLrGsyNx4
blQUHXAHBjepEyVfgwfIidibZDrT2WJnKDhYL3xheT0qVZM2aJMACRnJLm0R9KJ18uwfeHd0+/36
Esz4XY3QdoydWK5dkBgws4aE0h5pESglA0rYAg2MjZqFi6umkBJ8fpYNRPllNuuPBAZMthz8sbuM
oXc7xJ08dazBkssKV0k3tnR0sFQeh66e940m7Ian483gtxDRLDCmUJhkqAqmEXtz5I+rZprf/Z4+
XLSFKfPmNb6+GLVnv2Le5crZhtHd4HdhxgWZg8TzZ3anpSNiotnTEDuFQLm75CyTQhPI/FVtzifY
MPUxgNmFLqFWn1M+0m4rekHEALWuAJS/tGvdhcuwRDFT+T3PgTDlHmwKVTOYbgtqyMiW3GXWuHWx
34GmafMVmhTQvVFvqXNriXJjIPWDnmBFBhF2kfmAY8D9TiuDqAnIqeQMgZ3az5jvirCJb02LviCR
ITk1YG+fQuAyHQxbwE0TZBPfr6Yd33inl7PlMHT1NXdsHByrIXgFyuE9x7PrklbTqGXmzyat2WJc
SfZeYh+gTPhD7658jiuvgwkvoJBFseRwoNbWOOhlMgDxQlajT6P2M9LlDDGtAztmWldSX93hfOeu
G/RwBIKTfI8ajCsqh3VrS8Zo+DnLp4II08cIl+e9EJH3zLy+oiRKwgKHZg9W14+wAuduig/cKbur
HjoB/aZy66GbyoB6NgmXlEBqb86Y0DBoXvESV3BZnQ3lEidRtwicsYDwyFlyyzaNLDHxDL0UIGzw
/F394241De8so3VH+SsRQAaV5mgPF7HbM4X25yv5SRWbNvH6+85ELpdzvK9YTf1aU3ZZyM8CqUn8
AB98rqsqxMZKimRcNTCotHRvRqesdzrDDu/Xc4rpv6UGauEqNWGqbpGC3WLysZ/MMVyUjfWeVO63
AJE4ilfQAAjggGC7MAVJzm7cZTflJxc/1S6KYuMe3om9JELYPxSTzk9Jmz2W2CsJCB7iH7VpmQ9e
g9UXWki4hyAzr0U9PISWBnAXuvpeF9qAlCaz88hOiiSivArk+3sABdGDOxfFFrmQuyEcGvtUHdsn
XTr9VoLbgSVVlQuGIW893H1AFbnYjnhdgGV62x4mJ1T17kdHtfI5ATK0lRiXSGbBIMvZIyBFQQ1W
xd6wKjgs0Ce2XgxIMg+9DpgC3QEEY3P82PXIuJjH2nXJd8ysa21M7XenLeZjpLV98fuukQvEtxBX
BCtpSf9p65BSvakyQ9TY6yx/bclLLUn2ALmmhmUjgVhCJFCohBktK4TB+dFvUIsosQ7S8jwkon8r
AvnZ+yLa9mI091OJ6BQ9nnuHV2hZtZCU5m4nFPVd1UXOsanjC73fitlBsa3i9K4SEjSCmjVLE+Ww
pYuRdv4wHWmAPWXwDiJleEsGD0srSWj2EQe0t/GER3heqSXG/NPukNdmdvM+z9EN2nOsh1FSYaQw
rahYMNu32A6E3ChJCUTm5t6zplYtqqAmbB5ILDc+cu2jFJDLGrS3C1gr3qKySfP0TbRp4bWckOi/
30s/cI9IZgm3r0get/txE7Hm4v6LMkJlEvlRFaXzABeSPPgotvCZaWG5G4A/3S6fJuXQa6nigxQJ
6E7QjvKtGUwRfYMGkvF4NgrpIza9RxvwKrUWMQ+LbBrWGc+tIijcXc++P5G1GihaGU0y3YXCCR9q
hYk+6QPytTzf2gcS9o9fW4daWgkDzEHraTd4c/It9BB8UvlySzWJWaWPIsF8/F/Undlu5Mh6rV/F
D2A2OAQnwPAFc1amUvNUN4RKUnEmg0NwiKf3l9Xlg9p9zt7bBowD+KaBRrdKqhSH+Ne/1rcEE2ka
vidZzIPYch1/ZbapER+9jPmEdJ9nQT4L8+IuTID5Hlhn5+VqUexHWNDmp5L2ZzzEtLlNLZTIxRsy
gFW8Dz0S15fnaYjpld6E+3waiwc1ACgFrT3VOyfXaJpTXAPC9DLPf5N1qS58WvezgFETdSJUFVZq
zs09c93KbuaSsrjBXgXtYoGXdHndlya/aobBkWkxlrhLAqN7RSjuyKhOpNfnwb/yPRcNH2yAEIPL
06o8kyWEpSvbGwfQbF/J99QkMsue6wYkZoQb9wYj8pF4vvEgrAu2VyR1cudyILnmiksh8uYtEzHh
5j6BdbhYn7QHXhq6bLkvYbSwXVraqMrD3ViF38ZkvHfb+VXENB3TeMoxgwLN9jBD202CZNiJumvO
NK1Qqd5xoVcZYmPi2heTjYVrnn483pAFKlleymrDGMCkOhhiTqJSj9WXHt1y1Qmnx4CZwn1Naa3y
Y2YmQal0jY8lXsmwnx5A6g1PCdE7iEcOInXptuccA4NZFte9Y8Qba/attRWkiBR9E8evzAsVACTL
b9d+4ejDSJ3xt8zK+2rV0QB+1ESCAT+4xQXWn7EWbgdeuhUADVYVqwC9YMmTcL+YllqbjDo2z5+q
OZtl7T60Uwj0dkI/zUyD5Yibv/WJYe2WkScu2up8nTVuBzhn1q+Lz9RWrVhloWx4XCw3Xle9TpPl
3CWa8O+2H5zlmySKsFecjq/BCnivS6stxC/WehyJtLtq8iU0r+fSgODp+3wM+MGMfFfhK79xkIY+
mE2ZQsCXnTOoiQgVfH58kkbqW5vYtconRjjCUxDfioXKzMoyjyI02Bfg2XyqhnbfKTkRE5ieh54w
VN8kTyyQd9IK/H3JLmmjNNxgc1mI0Ludi8adGzdOwkqR50r2BDWrxDEimUxGLrSo9MzuR62zs2z9
IhLZsvPtjqrqstl4xcQrGyF/pYMMBT6VdBnAYe5x2qhI2DLZhktlM+PjhvHWws2+24oEOaZGOe0r
5s9Xsw7RVj3RHtzcbj/rAj12PWM6fpqyLs6iqg3Hh9K1QDO31lCAHYbrEWrtn/w0qJ5supu6nUKs
C1emSDQ/l99GY+0ld2Taz4NPoUs/yuyKzQkrB7sq93MXlqT/TQUTgACJvtfQJPcYzybq52G37oPC
JEFSk+TktJLnrzlPxQ9tgR6pMdc8eDIe0YlnmR1dLXiEuf54OxSszUY7ZpBrbONYZjZ9ckHbiENn
jwLTL4CtM8hl82pcCImzQpOghtN0XsjdlACTOIrZYg23gI2FYavnotdgeQMdbDJv7HZTYFFsFdoH
z5e8BqfU3QGP1dQReIN9zQRH4W7HVnFct62+q+VnT7v6F1kPY9X5yjgVlxPvpO3sHr9ec3bCUUFa
LfPbHCvynlvJuQ2Rg54FnJlNEBrYvUddM++5Q2RrCBJu0cwrkZNyY5dXnPA5gbv1R87OcTsdeeLO
q5GzHAARa9p5sFmjpYETGxVtbL2UyA0gtXy1lkWYruvM8cD9htl1YTUulZy+H5PbaHh5FDncWCVc
I0onI1+VqZrWaEjO+kJnhQdlDK9UxrkPFtfnXSppkVWJM6A76ObexaoVNeyhVrx5+nXOQxaBahQH
E/wwagopl3VQuOAFKlnsyD4OL23Ms64xHRb6VBb4frSYOX/jylAphMkaRIBMfMixfpN+UERhv7lj
kN0sNu1wrBONlY1RMWpywucB0MiVbSYen1QJt6B2lmNqBLxykmbktzM1bfBuTMZbHSxfyeg71zS8
3HJBodajJq2qcshvU8OqqEjIu8vkINJqPsMMkuWOhEGvdg0Pz3SVdv2457JuOT46SKZTFaQHK8+S
Jx/+0HJ5EdEY3YSku1cGnyyWAR2e6tGK965fdR829m8HzT32neGmNarlUJszzM/CGDuo4Dn2mXTI
4rsEseiBqyt7KWppvU62g4Hd75MNkZxkGzexvvFqvPatr5gv44XWJkBM5iuuy+Gp0PSQA/ZpkcO1
FRzSzgYUH3jJV5joYC1js9jAKFkeWrD3p7qqqy1vi3Lj+V1/RVJHMo+ao836xfo5JavV7NTt0ciZ
vuykLK/oXyFVMIQDvJeMjYkug2UL0kmfEVpgn6eF8V4kifdMM3hwVTMk7XuDZJHyIGDOGURZa/Dw
yM/qkxiVfYDcHFuRb0/A2FMrOwEZm2+5IkuO1KJ7a7wx/3DCEi09TfQD8QIK9hbmHbleWB/jYFij
Gkf4G/lngUryuECTVpAP4D+szHHoH6y56s+iaFr3bAb1eDXA0ce7ZExq4zJr7dssZYNOa9jt4qQB
k6RXWfvQSsuN9AY8KpZE1YPO+hiPjn1OZcNBhPTVVVfaE/czt55MepaYgS6f0q7CQmJgodJ9c200
xpNfG18O1s7HShrtfaNEvDWaObucaptxJbLs2TS68WaB8PnozMV4bwCuBg97NyG1bm2Rq9ei8fpb
13LmVwNC+ybHiHJ0mixYKT9WrzxWXj2YgNeLcTkfTFVxdgphH+uyN3dlAnE6gcy9it2x+BzHuN+2
k22uumrMGFVMng4YrPbMhhkwEGkPFAr4wj2Uft/uxi7Qb1XSdktEqs/+qByD81h/AUmXnJOPMBaS
NeBddFlBwqX3fA0mR9lAKS/WiFoFPJpAIlbSQ/fxKAlxfHUlpxhikGdZr24ImBpBc4yrqM0q6w6x
NTvCJXNgoQ05f6o/bxtpFodElc6t9Nt+U9FKvobWBx3cQtLI6x9wFbbezDujjNW84xgN5mlxBDmr
HCpcfEHptB6qsRckb0GafuJS+gpQW1fQxrdZbG2hAWertvdAnbfNVwHiHqiJsauzrowqAPCyWAQ0
kBEYUnIiVPU8Kx47s6Yxs2QxZFiLyd443XDLrpQl1mPmW4dylA9Lb+1xDK18k1jnApNm5U4ZDgS2
QsCWZxZZgULuIfsXJbax12Z7RQPzXuULWUDU74Uys3ukLrHvgznfiiHBjyx1xjCpVP7Nl0u3NSAx
XoPiKB5s9l+Pbs3E2OgMKbxqrN2/6gvSt2N1v/EhIL4baSquGYHNrYacuKthTjz9dMz9TydG/hfR
EMgrX1y1fz8J8vheZeW/nN8/1e/R519f9mcUJDD/cAiBMHyFbnAJPuNp/TMK4nt/2JZJSZTnmAFv
nksi+lcUxHL+wOWI19b8lQbBev8rChL8YWIL5KuE8Bm5cCn+d6IgfzXBXnqqLi5YmwD2pfL2L+bQ
DmSY8oA4bbJE3lpxxcxJfJgyxYRxGHjYUFyJfob3SgF59Nsn9f+Khzh/iVxfYhqMXwS/HYpK+Rv9
xQALDwBvlS/LDfE3vY8HSFfGABqgm4HXDsofOKbl9inrx3QHDDaDNWuZHzWAoE0oZ4Ko6SB6lh5a
z+fRpXYck5p7rDs9R52bOVdtxw4s6/rw2sl6Ol87nq+Y6XSy7GMTQFsn/TsUdLe4lhXbz9aDa5Ry
OPEJMZwZmkG4agieN4J1GTk/rwchXzG3ZdBjGhdGS+k5kvdJ2TtnX2jjkYKAfuGudvRdtyQ2IOne
ePS1mFdsFnACOMy8ZBTEdVKYtOGyyX6iRU9Av4wJmYN0BDfhqZ29mO4x5Hi9c7MMFVMIgfGpMy4F
C35qFHvht/bJR6yhD9vI1HQw2FY4xzY2WrkTvhPvkixERAAMX8B9X4JvQSxyZ1WQbL1HY6DgndXg
Rawx+NR6Z9kvY96foPIYCHB4n+7IEoxfVbyYb6wvevaSbIIWyudqvhSJdnqd0NWY1YKpeqid/kW1
hrshU8mG3B6OQQ0eq67lHtMTTv4Osj99Md88ZYbXphKzBzxwhvyuegWkp8hVdiQYPHOWrub5rCTM
RtUVxRGxu9qVqVfs7CAJ1Cpvg+ZUEzk6pPB39g77dfJyTY47dkrWWac0WYyAxm3Fr7u3CvO9rIFk
eLWEvB/61bwrjPCGeMl0ChFWt9QCyGvHKHaNzY4ZqZJ4sE/9BEnfPt+E3Dnueh6UdVooVJArhF2f
jjy0/S11Mfz6WTZvQyXFgcDLHNWGTUWgoAaTw0P/4uG7fkHLMK9p+eGaTtxjYLVO1F+u8yGBf9ma
obh2aJp/HD3gYWmlhvXUN/0GAxhrjCqUtGnSMhvxG+wfIQWVYeS6XfEQwLu11iMgRAsEJLo2Kd6m
5bAOtXL6lgfKoeUD2oLJR2zSwV70Y8bdYk1usRVaV17kTLYYtxUtfeeAaNT3WsTDvenUGaYUMPW7
hSPzw0SR3hfczO7Bn/rwCQ8Le9QlVca3PLPnU4aH4tEpPBMnbjO3/llgFKk29TwSFI9Hl65myzDI
MYaXztDJzOB8zQUwvMNQEP4EiMj2hbYf+5R3THrfggDOlfbdhVnCCi4Tp5d/7+euvJ2qvFi3nAQe
eyAFe0C1h77O3H1ArEQPjINVN09bXHnOj6Tx5SfJk3y/JG52Ta4+PdCvge8hpj+Rj9MZz/D55NF0
M1a/araGJ2+yw48cBOzB+FmFiMd5VffUD62SvnL3hYnis86svr9mIgXJ4NSsreKSClSCKWez0e47
zP16i8k4+3FBYGymeqrva2MMHkgQWO8EyLxbS2m1i9OYj3AO+ieOKM2uHAn/DyDtXtPcbZ+Zapwn
DF7igP0xjKRchniNF7vA+6iKaSdhE3PWrSlmW3Fss7oPht46OaZOl1AfnpeBeLKbrJk2Ll/52ul4
F7Nx/hHHeM33YjGV3liUX+i9TbUkqwjEpg0m2W2wpA70RVdXeP5Vx/okMVvWmO4MPaK3jLBbz/mY
vXOlzUx1cbrwQOIEzRY442lMRXrHGhv1HDM66Md67Tiq2iifhelpkOzoNX5Tzp+C2eKyMgsO4DKs
by5B5VvV6fHQkip/6R27o1fUGCeyvvWUGZs4xql5RGqOoWAvFLHGQzgd8b1NzyqvB/8Q210Wr3Fp
47to87JfIWcSu0+y+b3OZ3keurS3aUsC2T4ay9vCAtRmfOCDYT4xHmriU1/IM+Oh1026mZgxcMkp
MDbRMi6Qfb2lql+5+HWyqfQ4J6tpgZiwK2KKTSPltsiD7TR60wozzMCogwkYvWaS1tssR2c9DtgX
t1Vq1iLyVDu8GfXUCw5kUrxUQpqvbcYB1Gw5YWcKcRMOebgO8S9sIVaAjSV29tnjQzqb7RzmO/BZ
dFZZno71qtRxs1sSkIkE2Sjwatn6NZzBfUoEQDajVwhu+qgRiFNL3vEDVIUukqhK9RRHE7WukraW
vDIiuk5wWmgleF5gb8E82RRI+VGcuIplvefoeRsUkzR2ldcEBsEt3juB4zbPvHriZI1eAxmzmUf5
VIAfOBaM0lt+ZfWKTdywFUU5n1rsyLssCWs4Pi0TFOo2qXIoysawwhFV4zrq1QqrLlECyo1XVrG4
t8AaCdCFle/c5ONIQk4g1CaQ50/V0k08TXV6xPA87dKCtpUI4nFer7B84ZkOpZPe476jNWEiYmBE
LNjMy40Oi0UPYNASglWf+YLpgX1LRjU6fe79jw6K343WBZQAky3kFomTk1BIe89rJbBIB+BzMbA3
O2fw5tsUa9+9Lqbk2RqgIzY2G80YkQsFI0WAYzByV6kfdpd+5vSm93tuW9szxFPZ0PMD0QPQbZGx
HUfDAAFspZ6pVwHZYRjULqlxnZ4WbAFlN/JCVm2/E2aDgOvb6eM459N51JIvToGHnO3GsG7LrHTO
YrYAL02+kd3PAyz2RQzmMUWBZE2FkbAp7wnE4kZptAX+xMNyiw2HA+wHBiJ3PXndTYHQxPSDwiBy
yffjC70tg5p/NTRTs9OFZ68qFLGtuGgkuOPq4HZKG5bhXo+/bU07jo3RxyMYCsSAdu1QEO+Dn4k6
4nEQ+lGNqT6zhpkBzWWGvvdstqgRXF16TaaRH+hgp8DVI2wr7CF71X2pRQdI5UE2fJAc7ZZtNUAo
jsZOyr0/2uapKMnTR21QZhLsub+4PFphsQKUreLpUGee5I/GUQShg9D8gxA0kfXLoNVqLAWuZT9x
eR9KlamXwe3tl6k1S0goAS6Py1EFhoTH0iMyia9BwGxN70PLAi5NF0/PDKMgkCH9FVdJ4FCtNdic
vjZdbzZPtIT188aaRu6nagnD27aX+lyY3bjval88kvEN96Zt54jBXvCKjbq71JmpslljXpzlIUYw
KPih2TIC3TeVxCVXgnps3aL7Cgs7S7ejxoHNGz1fHlzHZaHCiR2sdb3kprs356Y7EWNK+w2FAM0p
ZZf3Y/ATvk2SW/N4+b0Inqt92pUrWkt4iGXj5BIEaKdyuqkrQS1plxhgM+lLGPVGJMYS3xC5DOo1
gRp+63LRfEB5EWblGgP+4G7dJbUfxg4jEUhLPzE3+Wjb4xXLoDHYWhalagGO7is1+mXAscecOQHj
KY2sRRRXFAWEPac1O3hkM2i/+KnpUcsR5uOVRTbvWFnpTPMaxnEe6YX/tKAN18cZg3QbmdnEsrmY
L2uwIAs7jqxylkcNEvod7Ec2r1nZ+lj5TI5Rm8lmCl7ZTA4jUBSPrSu/k7C7SpcYzgk198/dUo7Z
CU6kF0CDn5JD2UADSrvW+DItvJ5FbFExZfJWOUAu4lHcQEV+dSYBrpfG1uGF37a8FpZma0aDwHBw
eZgDlyztoxYJWyc3Hk6s28uMEEPTwD4K+T3xQyC+eWI+S7Y76dpPkxgmOMcjxNywdR/RrVuZ/JN5
zLrk8X8PCgYu6U50hQu7D0qfYBz9PVxX22pQZSbAbVpmSWNZQlSgfmgt+eqE1YPt1rxY/TRcc8j8
RmZH3/3jefCvccjLt/fAeAlOd6Ywzct//y3OWsS9XRWTMWwA3cDa17LG5ZqVx3/8XX5OtH/9W17Y
g45l8n3c8C9D59LjdiNKoTBsD8yErJQT3OWOEexFqgHhFKOs7MgO6/QTedSw1/bUllUEJHl6tebF
PYBcB5Uqq+G+yPzw+vKRAbMz7bMxyeXVthkU2PBCClK8F4dbhxKy+M/o6v+00vJ3S2k/fq+o/V+k
xzDZCSKff1+PuX8nwDOk7/Xvcsyvr/pF5gj+sH3PDxmZYU3+RqHzwj/EJSLruUA2PBEIrr9fagyl
tSyZwpAN//9hdvxSY2znD5M7JeSBgojD9eT+d9SYwEPX+Zt7EKsJRWIem4vQRzPy/sLMaHhcgV4d
+q0Jq6LcGTFss2uWteoCC2s8wgx0YUY9MFUiEnnOE6OlkQqyhVFU576j2COq7CTA5VY424ng2Mlr
GXUBHxFNWQGBl+zrJ0jRFOERZT+FtMljayUpULT+NOwWws9TNI7U0iYJQjnJHRFfK9xC3ToDRXBI
QwCSG6WqSu68JS/edDbP0xqJeqaUDVt+FxXA4Nl11nECsWj0vjttiyPCD6fdTMfQrS6wibUGY3ol
dUH9N+Yy2arifrRl+8HL3Hhf6rmsnswy9r6DGa5fbRDR3WqxL2WaFY6kdJuIPvkcoVC9lAHr16g1
wQpFcoIGucMlOT/0JhaXbHE7+2T6rXrDgAHlSS/zmxMAS46m2pRnCiYAOFW1lYMArgfNSob711yD
VXaY4vOElrGxYifKSeOyC0hwst9UndUSoARQ9yYby0nezRrbaJQ1kNs2qCcKiqfoujPsYPctGCwi
ewMwI8zhZKCu+t4pB/7QUWmg/OHoHINx6WugaU1jkTOkJYasO7U1asiJwl1m7hNFnkJerOEVzuQ6
/+4MqgC4KyQnvk58ppY1P4WKwBZgz5ghd5rb+koWmoyEI6knjHH1Pld9Xe5GHTQeOobyMZ8tbUNs
Wyv3OVXJ8Ny2skjwy4YoyK0Wzb3lJXm74SeYn8dpKG9r2aZ3MIHzbhsvQ7hPAZvtkCqS1xxomQut
2s38YE3XKPvEwFf6RQ1y7K7YTloGfhH0vi1nz4XGQjHm724/clIOGzpNjpYv6f9wu4sqtliAuiuk
0ce+HXE2x4G3kKcReTuuZNPTrTosPu/qEFHkWXmXzQNo4Pktxyp8yrMQZAdv/pgH/BBXkgt2oRS0
LzwGaqvLauj1VdO1u3jKHbkZ2gqoq9kY407QcXTqK2HfKaJTT0WORTfkUIFrsabOYhWOlb4FZu6U
lwwXOPCQoFDWes6tleoBohhgs13Z1xwTaYeu33ifFkffx51K5gJzohxMn9bHKqCbXTnDVRYv+J/N
mcLmjoDDJqwb7y3kUEZXGdmbdtUoSqXWclQh1C1pl1uYht0hQCfLt00HBcsETsYeVhvOQqJuSO4F
K0DMN2kevppT1r7kZhl898ZAHP1phMuN2QLEPSPsSjTBi6K5iRIWTivRMljiHX6bZ94kImk8GHAT
i7dwLtVNW2sgAIVS4qobBSZxXY7M+U4n1avbpP33NE9IaJf+EpSseWbWFdTmKmePU2JBwPJMvnNs
jviUkCP99MjRZeKkhE9wIttKZpqzDmxHLG+Ko2JWOP1lJySn60XPl45MaXcDtRwWyLEmDrjNU3NY
gqgww4IQERfseyOM7L2gyyre22Fafi6tsrZ5mDinmjuciYlcwEfnec3ZJze2m01TP8PMJT9qx474
6KCQQWPxPXGcNaUa50Q14zdDk/LMkT9XAB7DE2aA5IkrKqcIL+SqRGZutrxMlrdCLeW5TQL8kp3J
4iqCs2jvXGuoKTv0x4+8EzPUBGphlnRBH0tnCB2QI1V/rAZr9E5J6ekHHjZu9UjSKn4PciM42wzL
fAMfmGSfyOI1WxxS6MEA5Ab+ZmW8tOZMhAf9+oeaUlwJQS6Vxr3XIpNwf9MiYDefg9OGDs/2zDZ3
AdHT4FnAB8YLgUXf2CoyYf7FgcRtNgmXjsOh1o593fkLduu4ccGCWyW2oElhs1fcKYjBA+bHnFZZ
kpLfKFVAhkWEigZbKhqZlCRMMlK43aOMuLOLh4rHWYVZoGXhPhU4kKPLAAPNRhMyCCEZ7/FAw9co
DBsylEaKYUfrHvyy1a8DBAbojvR8bCyJr37fxYPIHkx8ky7/b5w9s7vTJl5dKrRCXveHYrZx7RVC
Sx5HuFk/WZT7N+yUnW8GpXK39mI1W6ed1XOZUMBxW6UDJlro/1iL8NvW38gnzHuAzrOzUpPMPj3a
WVZp1jXBxtBtiOOCg6D/yEA0/pj9zK7Qaav2m9sJv4uGvofHTg2ZwiVdNcMqm1m+4kbwqw3WsBLf
yrhcMLE6vlXdqM0NJt6EhvXB56klDMt76T1P8OIu4r2pTZM9bQjeEHn7oQj9+Wgbtr1P1EgOvVJ0
dVmAJ2VMKxWIR/XWLz3STlI11HKJny1Wl/vQiILSr0/u2DlkIjCB0Oaydrz2BR4sN+alFCvNCVA0
mRsfM6dT0P568Tlf6rQgS9MR4UoMUaNc1mLJvhU1Hr+49b9c+rhwdRo7K2NaHeKkIufbY2uJ3GQW
L8PPXi8Il1y1qduTDSSSMDkH4bkFDDzICvIw/WwNc42GinbH8OiaT8rFaVeJXyLlz13QzdGcBp/N
z2Yym/TKcyoDQ0eSAgha0ooymM+ay+czppeIfMPIUUekZTXgXYEdI4acjjQaAfZFkhsb+9KgBuFk
PBJUgGDPDdGvKbfKGXZKc0P9kH9fYPbakoIuUbDD4oO9kP0jyOLhrSQ2t5710n83KIPAke+JDG0p
x0Ej3Ng7+14DwyicamuDQEtBnIld1ztRikxXikgzUuQx4gb4yZ9Vc3abYZxogzoDHskFk6wrCRYb
UOJAf93YJfNBZoZzbq1RU/o5OxRZNJZyXtkAFfkh1E7/FbQwOyqyMVw7gSwPVdWTkOeJMPpbZ/6p
ZJXIurruwuuJyMrJHOxlWQ2WSr9XsneuCBfA3o2JEnxn/0+cfwjpDCTpOORrdCNWYcoIWAMq8I3+
jj7s6uKZUpxDE68E6bm44D8wqObXFkE4JJzC8ckazHjlqw7jod0EE0KQ3T9ziNJZVMCj+6B1vXuF
AJtekfsPcCbh56EPbylmajBD0pGgPExj5Vsu7pDesfIb5VtpGjmeO6ylZ6R6bRXYrQnxZ9XB7awA
JZaH3Rbj5+Xtp30qlM3Z5PvZZaWv3ZLbdAWYIFhXLt7kKdTNs+M5vk89e9bQdeD7r/nUqnxfWymp
tVwmzTpg7YFrL+OPPGWNv2TU8cXJ9Zz3xNkdu+f84oXtnS0r7z7uOx87ju0RaiVxTHi2UjbXyeiy
hCscdjDbsc/XxCto5xlSfLkGB9M7qhonwp98PKs4RcvEYabdZ4RWSqVI5S0SPAsI902Q4up5Sdy8
+bK7CjtZAeiV/2W6nI5y7NNyF6uhfOegQEX9OC/JKZASZ0HT4t2ImDiSalNUGboHDcH2jMYmlmHN
AmJ4LmKBUZJ+jeFGETk51mocN9wC3VelXOt+Ksa0X1syLO9SPRtPNiurZxI07s4ew/BLEYV+WlgC
HgPXNd4WkwUkVuVc301Nrt54/nJcEO2AGlUFPX7LWlA2OFVmcDDrZHkhS0MhnuIdg8BjXnpkChis
PATMnJ3ckGFRE6GDqo/fTGI/JzODs8wgoA4cGyATC6CgAo87Wm3UjKlzIGhM6xfWMzdbeylvt0ik
abvsYoe42xWVT8XRVWh/ByUuodksJye8Jm0Y/hjrsfrou4CQajmp2t70zFLPgu0JRWjpNHfwAdMm
MyhgI1V6Rc0HERfHyCWACT2R9oos6tKN9wZSDXq7XQYNLb10VR3SOtfDvMKsK+FdoAYEry1b5eDe
pRul34VcaZJmv9lyabqO1bsLAbZfYE9sp8tqa5hLCjFs0RAcwHBzwH1uc2Fqgwq31BskeQFHjM5Z
Y0VyI6eBD4Hb4NHkfUNMK17iuyLkTHBbYppho1PokMV0KTwj3kEHUeB+AxgBsJaIUK8cJD4mFTy6
HbzpOm3b9jrVDccj2WRKrG1LVuI85E4dX7nUU6Y3RGWUd+NlFBfv8z4b1iwk6rvBL1rjFLicSR6X
0rT1LmwX19liJUizg4t1Ln/FcdBVe5fOx2UrC+oDvlV6Md/DLC88NEXlxt8uMkoc+RCsfA5JgxPT
GYRrrMuikaX01u7mNltZl3hLevFfm98cb6TvuxuAF6zaWNpwedwlPPH6bqd9EVggRZbK6jY2Rs59
Y9rFbsDE73IM9OaHtB6q6kASMTeR+CSdwaQ4sNg0wp985DurGehEsVljIaAb6yGZvN0CpDq+gr02
q63MA95dgML8+Kpu6Viwo2ywiXbxZqCZ0DC8sn+bC47bsp2X6hpPtO2vDBBgaLtkwwJ5VZu4G/Zx
ELKIHtg2p8+8pLz+IOYB8pEyp+k0TtC+8IHiiqieWIqJ/LvFPdzcEbFd1rUnWeGSHyYAZPbeeJu3
YfiWc7iD57QMdP31/HXA9hIgADucBP6IZVLocgNa2gclb/jD1rc7BF0ddMYRv8NbiEjNidySyW1a
SN6J4Ja/Gc4cplFp6ltATff52Jpq3WUFrVBlOJVkOZ0R3vvsyXRNtqA92kPFa6omW/BDo4zaB8vH
47tGYkDHH8p0+VgSMAyHfrISDqzm2F+18I0elNV6OAipfWG8XAjOOK2BAVOwxkh6nk112BfHhLJ1
m1MLvWrU7i2utyKMPX7v/UAhapsB2c0G1zhWU0bhcp/1HZ7RflySZ/pk8HPKgPqaqMwS62bxnNK+
Ds0aqhhfTW+1qEfTYMXYYCZpqhQ0y9CZ1LQntf/J1qrLNnNr90892ylur1x275Xh1QfCZgaZLD8+
4XBhtzXQSedFQPuJO+nKdW7cMnHu26wRu0zm1SHH9aEpN+Xj8NjCHLkuhz/XA0A8TL6+8WmdmnR/
kLR5vCespp6XJRteljYBn2Hlln01EmM8KBpdrRVwopIWrdEnstZVgQmMxTKrNRo1W++6zY3yDNet
5bnkBBVNQvzFntukCI8BFlGSM8VFja6DeAJywLCP9T2GdzC4GbkWneXmuJ4UfZFr3Gre5qdk9/9N
3bx8o48GB1yWpEP/Z81O8tWs34f3v/mXDSdVkvDqq1vuv2gMHP793/jKX//nf/U//svXzz/lvwAV
9mzEvL8vXe6a999FywtQ+OdX/JItxR+o40iTFl0YyJceRq5fLjLnDyDDcHatP7XJi7/sP11k7qVt
x8MW6dPfwZEG7fSXbmkJ2naggGMwExZ/HJ0b//m3/2Xd4oP789P49e//iPR7+cFMD0AmMWaYoH/t
zrB99ltuOU2bPEmaCAqc3iKU2Cuw4hfceD7/ExjlZRPxu4b/5/fjG8JNBGZ8+TB+XxVw46DnlNT3
aYE3iU3KD1ah9CpOxvxPliL2/wU75Xu5genTNXLBf7rUjPzN91Keazuk3qcNXr4C46gLeqJNUosb
1pbXBePbtdIOcDp7gOWP5ezTK5vxFuhbcahCgcTVGjDCzIUFelQA/GabFybdC6l9AvsZWM+zh1Xo
SpkcGZdJu4hVlh+zUCPQgZqrATVHk9N8GbG6ZIUL65GU+DBuKdVpreMguv8g78x2LEXWLP0q/QKk
wAADbvpiz7PPU9wgdw935skYDHj6+nZWdVWeyFSmWiWV1OqLc5RHeSLc2Rsws/Wv9S3zNslFGy1b
gFarLvWcr07GsJBQY4el3+b9N6SH+CtikaZs2rNXVZjPt0HDZJ/O0Cna8p5NlxkJm7tUzsaRPZ45
4MDt6fbN4oBfBbdx+OL7v2+pCf/C5Y9yFMQIzcRZAL7wtvXMGrgg3MAGEL0qYgvjKKbAtjeo7yIF
GeS1cu9F3A/W0NM9xom0nORjCeGwXmWpHVK4Tncy9p7ydhzz00j7HuQCc1jSOPrK6yllMi7u4O+V
0JO8Ez1q7N8CDGdNrZqlHRh0TsfgnnFvkD02JSEaK2B4ZkgfEyBZ9LVFyO9Auug1CUAbFSN9FRPv
X3LatK7Q7XbpSDJv8jagfhZak22N3doFADkQVd4i6dwhHy4IH99TiUYm0KPU2Brjre8Rrc6LYC84
qy2z2ubHK8X5z4q+S/TIhdun/MPVWgZtcQf6JmDozGYc7cxcSYcfLmQBjN8373RP+IfKTR6dMnqP
RHYuSlQXiu4/NHbmhQVaj4ivsU20eVdlimPK79QzpnKhEz8gNkccfcRPtw9PVubtwerkS6qat8wV
/EWice+J1r4LyYoQRbF+prLY2PiblljPkHLTb5NqeGjU6tXlf0ACuNh2+s1k91R00QEZiirgAQfT
EDcPkZJbSjIofmILEbKTso1TnLMc1sHEfUfTKmpU2DTRKbUdbZINCdubpnMviVG9lpyylti3KT7W
+dEM6Aft63RF66PcMOxuF2rEUUedXQktXAdrzAHEE3wUORLInPccBDJ4lBc7HD/isH0ZI0oGXIEd
IbPRAGRoPIZ2xOnbM1nhHNJQBhZA4VWrKQsROGR0jEJ8HFKJV4RELoDYNxg+PCk6+QhdKAeMYchh
kYjsPPLbV8t+gRGMxVkY+7YijqZaVy/5Yu9iJvvLsIK5bOR5S2aUBzVrxPzYGS2Hq9Z71CZXWnrg
Zkq+B446H5SRV//D6+Yfl83//f/QVNCSlm8DTP3byeDjV/7OI1P+yyL7hz/5H2Zt6zc23X8E9//n
Muv9Jnj/O9i4SRG7dET91zIb/IaPiImd67iCt+AVO/9/lllWYMaMQQDt2behlfzfmbX/VF0Hism2
WPc8i946Fv1fFr4k85PWBqqPMam7lxyjdkU3UnSEU2sTGIX+SmmWWhhsCXa0qU1Lb8zbzRBLe4d/
xCayn5bmeuCsnfJ21O4dkONuY81huYfMVOA+RoTxwkiebT/y9nhTaIvhYPBTUXGxYSVKPf7Kuvto
k9CEp2U6lsmTmshXnKjxc0cL77mpFPbPXpBnAuRj+kcq532yPppiHDywQb5LU1KYOEDpFe4dY6Az
WYNlnRXGB/+I0Wx4lYLkHFko3iB8HABaBxaanQITxNkL482yoKd5j1U2fSoLz6mXZSM1SkdOgTMM
OdorKcaCPJ+NjkMuzLFqgJJGQK0RFKUS/d9zn0plDm+B6dMAiI7b7esgDR+RFYFjCDMju8ZoJ75c
WTSMegxeGIsutpMbiq6GZ3VdtuiVTcwjOhOvKD1dLOZWhPpa/VmZRcH5KMfF0OZtewOQ24hXusyH
5ZRb7nNowm/tbNt4jDPPfDUqApgLXjTDnoVF3w1hBKINAtzPK7bZW0ZyvP7iuc0pmd+9jzEqV77a
Vb2oTiasPyy7Y15+8AIFoxGbGKfwUAl+ST9gVAAWc5sBLb1BSsaSl3nTtAqra+TMN0jxIXwnW4Er
C3EIYqoThz7QLU25VGuuCY4aKUJTfN+PCVwfeHrWYmxmDHggIMJl0s/6PQIid9CTp8/cUH0askfB
KiiLwVmzS/DoZQpWw9hiaDKtAU1EyZ1nFMlzzUt0hajUHC0DV5pheAUqEUVZHpLItioqmlg64AVx
kJlryODRTvYFsVsHRoMwYCXS9mD+gO8zH+BTUPhrl+l5SrlRVaW9jy4rx41pj+0+q0S8K0r/sWn0
kkg54Oi0j28pF9c44FT9xGgh3MC/dd4Tq5+OiakcFCc4BVTIs4NR7Ytp1m9FnAAl87BM8TU9Q1Jk
0AszpMTOGbjJQzHqnaLGqhYcvmL3IOtN5M2Ykcr8ir9gQtb0dQ9mpKtpXxICuEpNm/ojz4F3bi1k
xCBzJaHYbkwPOefk19Yz/UfE1SpbVbZl+4A5ZJIs6vFKDyahND0gxzW7jHvqYvLxkX/omI7iWk/Y
eYKSWBSVdJ7L1HcubuHbO0tdZ0NTQZQo9HTyDfSn3ihd4E2bxrD9YKzEmB16W/DolRZGui7hRcEA
T9Fe48rpNnaS+A67oVxxeDeZsBAluq3HJsJTi6P9foRQwLI+Ec0g1zK81UnKkD2BkjSZpXth0otN
U9vDzN9EB3I+9NZ9IBpv588NZV9h7Q6PfjCKJxq39U7qcfoI8qR4nDpRqZ2QqfPB/Z18x5Lc64IO
lQaNZhLxuxXmsJQb7AZMNGLPu0mdBp6SSfH8wqYYodlkME23OmqYRV4dBNua3e0NSrr9OGCYOAA8
Eg9Z0donZTBlRaMs5W2c9BbtTbKBEakYdWx7s49uZp1adwj0cpvqpDsRwC4+U25hvtXQFs/497tT
nrU2Nqq52flQao8WzuxLWRZovLmaSoqV7dA8yrAmbdjo6OhaQ3qy/AwON0ceeKfKsKxHw5W6XXsy
p5UvtbwLMa7izleRee+IUdRMf6QdH/DIeU9RXpgMrDgTf+q5mpdmwSzPo72jAeTRLGXvH1IEOJ75
FFGYue7ABNOosm0CmqRdZwkdGDZlKTsdlBczVSDwLMM1VrU9pos46Kzd6FvFnUxBOrg8uOvWhBaj
+K+FpefyoR2YM3REyoDmBTcDydhzNhb+JwCt5KzZaW0sQZNXw7nlGMlC7LwO8kc2N9l5GFwIwmUI
CaZwvSOeX75DEclTGDSUHPYp1mKvLY/lNKUzsZterwGtfbATrta5ZaidDUrzBSbRRvr9Syrzesuj
Tzw3k+u4ERwA0mz46VTJV9rW3lq2RDTj3EqWQ0WeJrebQ2I4zdbtXXrlrORGGA7FzqE07iyjRMqd
o3IfGeHBjBQzQlAz5rrLjel1qq9hidCK1J0IMRutosio18oRK9yGj8ARx01BcnlTxfVrbk5iD0XV
WkmVfFwN7jn4M+HBf8P+stKRgzkBc/646UJnuLcGJz2PwF+wXdfdRQlx9Hz3Rz/WOzzFsAtaJgSY
iXtsPaOFl1KcKJ6dGeERYqUfTgVEc2guQOYjtHwU8AURzDG/xIvRDfNtEpv8I/0xxbax04PKQs5/
oTvB4p5jjHlgIGiEx9GiQdep/L2YclR2kklvdl5zPML+n5xhAA/bMrYaMBM2+damy9V2brSPXdTx
2ScMY38s4igrGGKqaNVOs72Ye8P+4igxJFeyJmcypwbu3JpGlC9r3dOeYtQt60AiWiAdZL5LiFp0
F3yWVdvfeLLTN0kWtwtoIczvNItYEPTkr5lZV5V/w2VJBiPulD7ardnYyzDodLW0Qj0+h2H8M+B2
f5tduWLbc3Zjv99kbZO+80Js7gHQJTAT3ML+PX/GRcEqMKHq3xF8mN+MiHY25pIjTF4VXCswZ9LV
ups4eip99gi5f7Qig5PMD15EVjcS6bfloigMD9ZfrZ4qbyh3zM3WOU7wA3Jkf1unYfRMOr6m1lC7
3zTx5K8MZ+qN8GbySH5eFskuJ5a102UARHogr+Rz8QOzdccpb1kD9Ba08HBBap8PxECd54QR+2Fs
jfHQEJpaYb4y93XhdixInnsipkJ5OAO3az6cz8olbPBJCYa5g0XSrmwm0xsAFoifAGq2GciDucue
JpkByWem4rmavkwbNEfrrjjOwq2haBxbAm2nvVZfHPTYz1Xciki/DBXwqvEipjVSFytGDitGF3eG
3diHqtLOPqsnqoWLsHp3eZ8tW4cthdsWHCH90tzUHWdzMYsOhJzv36FMWKcI8MGG0WV4LkkwLJIp
FJs6L+sVeI4lkT9xiYb+KMT0bVltzJiAZQooNjPnn33erp3ZnbKFYKt1CbLK2ZSRbo7dHMVbOlHR
yzWrSqCs4bELVfc0OajHYzIOG22NFzNC+aSGEOIPgDqmw0D9Wx3RinfFtU1OHdAP5460i9rjG39o
OCWFN3+Qo8aABUR+48RReSJlb7/weQP3c2QPz62uE29Tx5mzdiPT2AHnjg+Qery7GvsSpfI15v0m
zG6E6+UX3F3hHRqhfyqYDJ4GsoBiEdeZe8sTSoYBU746cQ4p7spIuF8z3izcZCFEm1FYF7cX8tCr
3P0K4jCAjhVcJYE4ebBV0xxdUzr4j5syeTOsojvz2sz3DemGVdt4n3gOgp1XpvkqIpd+6RzLf8PZ
Ab4kLamvs1jo2RfZaX2upwZHhUrsZF8VEUy62K0n3h64BqJ5LNFXqn4XKE/uDdeb7sM0bWdg2/0B
Q1C4Ko2gPBCGn5613ZY3YxG/Vmjot5Q/Z8wT/WYH8jnhEG9vAUFleNrTZuMl0loTASOKElvVRXkp
K10dRjSqMksHUQ/eIpAJmk/mvpgcZfiY/eKm6XnhsX+sXmPCZD+CMs8OVlRyA6vWwe/DtGQxRz2w
mBal+S4SCPpFLxmW1fP4GU55BjWSdS/0qZGiFgcCpMc6PgKYOVZe8yS7gTJKI2SXWchrfnR4Uyra
z6SvCV8C6iryd7Jywy0r6kjmgy3vynR7JAzmDaY5wWTHeLDwa/2ZJLrHG1QXh1QhMwzEYfa2a1kH
b2SCJ9rMXI0FnhFNr2tg4lSsKcnAQ/NTD2bwM/Jre59W/FVsYcF/6lx9ThjxjjkFoLCAExorhWbA
CLnaXJNUrTZ4vvj4HO3cGK5PKi/O1C1j0ZL0flV/mNwwlz6zBkTQDhFTpEiCFs28CWW+uw73EE2K
Jo6uKJkewjBp2S+k+XtmBTOXQuAX9H/8yWFM7AcG+CsmQc5iYEz5ZBizvs+GmXk6WXXrrfQqGLX4
4TdNYtY78mhMvpMgrwNIiwWHns63bhUW0GU4tKvWx3uKASLINn49kcYJNIE+TnJDsqxbvi+oD9kr
7lLNncX0riKORZqtJwPKlLdhSamg32L5qSBd+99UnqA+BaexDPj76245DlQWBLgJ2J6ah0wqcw3j
86vR405HwaNPNmUprSG5xWaI2JuX0671vWgzOaphclV1e/xa3VtjVsP7PDCHDBB6nw1XBCcKlcJP
gz1TvqDxiFiKcgFIycgh/zTAU5/z+iQ7p3jz/LBnb+S6e6oomi3+HioTgmk01ha5EHMXzO6oqGUz
CF3Bf6JaOSmCrbBjfHMAURK2+pW/CVXqf5rUWlHg0boTNI3Q+wH6gM5VA2zAc80W6SrkBZdOzzkD
6yHZTnGY7KSwx3dZxnSI0HFJ5qif8J065XwXYbA6ZO483hltixAHfWdYYnMWtOB6835GqbgPsM69
R1OYILzp+rVmfbuibuy9NznFFW2kzj4jU1wcXS3XfWeZQKCa6q5zO2mwYxnUlzlHw6MB2MpbtIPT
niX4vzX+NJv2h0n4b4Sxm63Xiu8kK4MD43+GxszJ7Fs/ssylxu7zzIuDIbHZ9vGqNtz+PHozGPBQ
iI0xTcVr72bsXGcPxyuPO2SWvIKJO7iXXCnqPeZ2nkDYl7oAZSTa28zr6hs21+m15AGQpEoFrxrq
M4Z7inABc8DOyfe1LPwtzmf1kNbsYRds4YpdwdBhFXCKOUF3JUKUl+2TNA3CU1d3ykSnAg4EwtOh
CplGB/OQ7nUp6fhu9Xwo2J4xI531K5aT4TFgF3rXC81qAgb9uRBjcggGK/2IvJ61KNTzxQWOizJZ
m9FJOal1LltQuLFFwZyb5u7erAdC2TNhxApglnTfB1Cf9ZUpar4X0spoe/Lm8cVhqIjWQlIF4aFz
zGZ9LfQ5GnMLI7kikovqa8wbGn/qM+t4/RaPYf08eDRtzbXDwcDv2sXki+oGJ7b/JL3MO/gg1BZW
PxBAM0RxIVfJFivtqFwjjpwMr0BX5ApJOr4JnZHOCjBMpOZ0Jt9AgNF/i9t70dV+fgRYya4zSZFs
jd5p1l4TpkyoZcRX67/DH+ENlhrbGdGK4gDO4FwHOTjG3YOwkY193q6EUDKKta/ag1XwLVkdYWtl
4Ei3czgdVdb2wxqUrfwwHM4X45yyXQoyiZ2UJruiQ7MCtrME3LnkqtneGpgLkjDNzwmQpaUrxnLp
jjSf/Pus6v/nuaktGXj+3dT05avt/tfiC2U3/+P09D/+3L+LuoH5G3sXn0yRh276RwKHjzwr2IVf
J6G/Mzj+K/Mhrnqv6THqgpcvrlCG/xR1hfUbY0cLFdb0GKJ6jvhvzU4RcgMqxmxXWJ4n5S/zRc/h
ZJH70t/i6M6wLqXBYmBUt0Jh9CFUTvs/fDx/Maq1rhVp/zI7hUFCmgV4CJ8IkvUvCRP8X/C3zMDb
Wpg1toyY0i/Hdpq7wSrr9QiBb1WEM9Jlz/8LTto0UL+cxm7/PKswx2Ep7CdGQP6w+off61cYiOT3
EojnjukKUCneNRnzh/gXG2vinxMvSS3yHx3gSlzHjMY4CO1E5xwCXHvbKrfJHiT5uIqns4u6/A9z
Zb7TP302tuUK3ILSYqTwy++Q+Y0Mx7T3t3UykhDIWhi1VlI9/v2l/qnhjSvlUl1aSAP4K8H13//h
Sj0+5DSeU39rV+7OzTTtJF6y0wn24Ea3+h8+2L+4Jtc2uRoHbIzDjfSvP00JZZlj6gfboPTkhqla
vkh7nFF/f01/msgTjuKJYNIhTe7hq9Xhj9ckwsxqtBt6W5dqHQzwE/uqvL8nPPP59z/oLz482o8l
ngWuh7bfX36Qa8x8otfbN0x45xdG+q0TTuIZFnI7zf6hO/Evfxi2CZzjuN9d85cfNvZOhfbkeFvA
4OaSVjNnEQ8iW0Hl5GSYyt3fX5u4fhe/PJuBYJhl04EpoeL88l0llu/Myou8LR4nGKgDsQPtheZ9
TjSc01ScrWomHZu402I3Vyn9C2YRfsicSiJdjs19mvlqCy1zWNmZxD1rug09Gbafr1x3nm/x6Bf1
yo/LAAMkdQjY/QrY72TCCIRXJGeXdTdbq94FyY70Ie9UUah/SHlaf/Gc48SXIhAm7+I/3Y8aw7N2
Ye5uozIW+9Q1/P00uPiTBvfJmEpcdGG7L1X07dmgLR2RiUf0Mf8fPuq/ul8D3twO3hgT+8wvnzS1
CE6JFBZs87x39pRIXUpTEhDibL/8+y/1zz8JjBPrh/Bt3+Wz/uUnxfUV5ZEGxNLCpFiOPVIco7Yf
DGrE+u9/EvLun2/YK8XJMq+94litf//3f3i1NIVlG55oyXQENFhng5Fct6PjLUrMeC8NbgTRdI8R
2iy9O92UrTrfxLELIIdBRcUEg3Qf8BePA9ei7V35gCTnvrtD4+804m8Ou72fHoK2c05dN1THLEYG
LhWxFtToPh03OcicJekbtLHC6/ecMPxdHTtyEyhMFDTzNCulAK/brmLf1fRmbhEXqNxwqztwhRGl
MeceFgrleNYIRjRu5ToaRrEaPCCQoVmk73iYi70zBHpt5jTdTDQCYf5tvH3WdN4r8G7nhhF9sptb
ojtGaOaIXEoecI+EZyulzjTr7HUOjn4fu4latvg6F9g360dHqJqoYVm/w1P3F8y1MBXGUxMu6YFF
iC+HaVOiEuwSs0sfDLNubnyzAFQzwjxBwhhn+ly03bzW4xCeAXGGhIzmZDvQYPmJlD9SmWvab5mR
vpS5gHafgZuhmUHdICHaF6+IV42ZoGcbxQ52JDZyNUTiHrkHxqYdS/9aKtbezGAAFhFJjm3bqGzL
5dRLfyCHD5EGRO0VoAheI0FR4C01nYIeiRQDTH+lXIqw9/D0N8k2b/TwxZaJz0TbdK7FNINWeIQv
TRcCo3Jt0eMecdoXqy2HZxfuc4N9vm7lAsJF8My2bYJ8xcH4yc8LZ9/3OHV004A+la5zagZZrKvG
JLaeoD6Ey2Zm6WfoC44BkLFT9dTp+cmOkJPalD7ft2gHPr7BaGHpcA7EA85xZ2EOVoJG7LpvcS1o
VoMl9mbHjTksfDOLbwZEWejIA9nxhd+bcBx4edA5p5xJSaAJOnjWrdvlz7YNN2eg9+SzcTkNLLzQ
5Y4PgF495A4boVURazi6bHEORatwzDje9xzZEy4eOkajlYn3ON36oqYeJCXvdRJZ0Rxm2clqleT0
5oYSZkYcjnIrZjY4DHhE8SFtF2ot5D5jFVwVAAXKhDNi1lMIY45nFE0YtKkTBduqMma1NLOiWPll
eMn6Mdq5Npb2xVha/L6xVpxvY7+TRHmFpFgVGNh8ElqR4bKaQxy4V8doWTzYpe6WWTJtxtqLHwXO
mjWKS7dp+d122qigAzdkN33XLPh+R8z2cuT+yGeUCeb/vdx4VWQ9D7bvHe2p+aost1knvWLagxv8
RxAG0mKDCsHasJRaSCMVhGYH8snW7OqtAX5l1eQ4uDNkhLOPGXUJMijGBa+IHjputLDbpHg3qUW/
pKWlGZCp8CeAaTfEPKsZf6eg2XK+4gdoqeYOpG6+1hMEOGNkFWYrqj4Hlx5PSs2mXaCNgtMgDVIN
J+gN7BSGnlC4xoEN4jhbzhGIf7oer1FD1aeITPUhchP/2FZ+A3kG5/5X20Y+E+HwKZoG59goK7qh
xEocleqCd/x59pOY3W6dR5ENQz9UPbtyRdDQdKtdXHTYf92ERwEK/iFBElvJms0xg8eY8vLh1feh
q/oV1kFWPbIPfd+TYpvLM52zEM2Q2OZVherLmFUR+PWMPF06fVqh57HxRo+/oGfE6yH15gcmpe2Z
dEjyMSa8cU1DEEYMrWTbNNl42w6VRo9jcEx/YEQWZw6eZOPM61FNxoq2jfkcBelrLwOEr/ZK2i9D
khXyNsyLe5OM8b6IC7nXvU0kKEtX0TwM2xy6/6aypf6CaNUBa6uzgi7K3rBex6Cxz07ennWID9uv
sZ6N2pyWwpksSqBsJ8IJENM3mnvZys0rvamcAC2V4/QitaiGm5UayM4wR9soh+k1vU2CwKXxPeL/
KrTnPrJJmrd9A9jDrXiUpWVuLUtSeK4r60zTxV2dqJOdUtvkWUa9nHmDb8OwfLeqSi1jrtxWqIVX
T2rjYD9h7rKKk9lZj4L2GrvXxKt0H96XZlissb2ANfWds1MN5Sq4pswIJ46kivrmRxiEMGLIDi7l
NN9KymQ2KUqMXshRy9fSi2G80Me+QW4g3OabEa0E2PQYhlRTWT+xLxvvBAjmHYaycKvomFoiBQEb
LxDPrMYIHmKu943B0kDR6JjTJpXLQo68zpsUZSTvK2/lNVVort1JZQOFaXwiIAFm7zZ3S2wKES+v
lwFQ8QcZQdSHBpBJv49SWGMbCex32bXz9yQSEGgJoiCpjXespdWev47Rjk9bcOpge8B+DGZ5yu95
969MXj4XHsJmO6dX95wdZG8ERZqDoDIPuWamC3nCIJ7Bmt0kCZ4ZS/o8xlodQY+NdK05zwOa5CoK
DLQTjaeSRf5WGgiQ7Rym9NqgPgGfkZo7N2thpHhO8yCk+eAlbbOr6CFbMKAydyhB6WGcWsrwmr7f
92SXeMv3JXA5IB/boRFiG1U5I3mEz3WoCD9pEtMnekrFbV/Tl1SacflW+U67bugxCo0pBRTJ22IE
q/DNggTVB7z6bpbm8IRQaIGmH139pfKZ5ERlwrgFZQgLiTQhe0Z32hiGX5E/ojNUJ+13JUR1GHVo
PdhW0GyUOd0mFPccptkl6hzYY08o3BiehyyLvt05owuW7+am8SeTersGMjBM9vuZTADjt/CnCpr+
YpVGtMkTBiLST7E/wknMdsTMxy2YBTjDBK3WXWHeEdb3l60dC8iuw7iZcS8ya6G14EBLgsmETpgb
y+67xSjSeVONSXYkyAkkqyv6RC/HjKE+aZvqE1dBfryixrtN2fGJBDLNt2EZWNiCKuaOsTxmTv86
Uet2HqvxMuZV+5PpZQ/ey65XkZUDePLFpbdhGAZh277blAtusU0O+8LFQ1sZzyVN6tmiJ620bsqw
PFQkqtdxzewm6mXxBPmzuwQemCmTRXA30kNUAul6cmiUIj1CnQdsevWzKfXMys2mYCGSij7ZPtKr
WvBuhpgcXaAJRHfWwLiiNWuKogpBzBF/Q7VCyBhux1i91FfCGW3jp1gMOXN0vWZ4PqyYdtZg/ehG
qogHL4Zq3qLYwyUXFFHMtXcWs0W5Fm0kd2zsqReI0nA1zSE0HtplSGOO5TPlVMmm9sr1kEErlckO
SmC3RyhnfgiNbkdGC1SGxUCNLD9924k7b3OasvrA27SVS7+uRLBmmGf4B3rA05WwE4+U9eMwGsUK
UgaZeE1hOtXqW7byFHxFMPhknJLoGoKEbg2MDapwP7vGDV+9QnbkZXma9USHSDrvurp5mroWS8Aw
HTqjf/ZTMdzGwMT5aN+CDoaIHRv0i1bPws7OwLMeGNgTOSqsG8zoX1H2pTQ9oU2S9BCXosdOkkUu
mvpQY8xOXOtsCMBaZLfbU66Mk+IOOuHjz2Au2P5nNXrpJhIFiMFoWfr1sCWMXLzM9k+kuHzjY6Ne
WjotljkY9kXvUsriF23y2FfYS7q2fFKz/yyblP8071kd/hgr+hRIuzjC7Y4t4DB4ECqlnyt+ikWw
c4vikfpHeAzNvu6wCVFDfLFlxu8uBtzf9aDXPVmgBU4rTVFWn64cF/0C8wh9GrrZwCe/T3mq9hRE
fiA77CU8BMOnMdEQFg76gQKANA530hLDDb5D92aqvfYLp2CAaObuGRAXhyBxrxA1TWpWhx/kZDmY
c9x/7BqH4CeHfB5ZDD+f8WzVm6LFgBYW7kYFZn6YstykM0/H162UbNaOzWQrpnl01Y4UQfsWpkdo
q2fhqHFJ7oC9Sh0GHO61QyslR4RWJxmneoM9DBecijTjVdCHC2SqcjVXfN+cW8HlG94DuPgbx9Y4
qIX6AfBi03bs80vJ7rPIRL+gantBEIwNvR3cx7N9pvH0hZKpC52wzoI2057oVW0uUi9X+zieaxb9
8snsQOAqMpKC/q/XlLTaivhXjcPkwzOcF6Ic3XLGNrqc6pYvTTF/EnbPUHsonkfE0MXkuvlO6cja
gbi4dpvjpq8bQrjJgHGdRrWCV0qVHrzShADuEeqkB5G9rad+lIwVto6UXCm0YSCZww2+sQnsmE2p
GeHcbw/45U1SEQNUhL82k2lWGyMYO6bM5rnkzLJJOf8cIGmzOWI06Ap1S8SQqUntN68xIyR8MCF9
T/P8AP2l2oR1s3SH6OKzPbxpG3rpR94da2L88lwFAoJwOnJuTizVXGYB0VElY7YhstCw+1cvdpbO
654x/kYkTBhJhIMk1nJ8pPeMo0uJ/1UrbW7AClSfIxd18JRHUcDIVyqsvt6J2Oi3rLcm9SExIX76
yg9FsyunOV3THyDO5tTk66jtUxoOfeeZ6nn57I/uVzha8K5EOWzj3DZf8iGnK8pKjYe6HtQHHpTo
tlO+PDNOwx2Ig3WLfWfYjgW2B039LxaDtlg7yDgwy2LMp01CAFizm8crYbXek1llSwPYjL0xsQxg
YkLjw73TFleGQ91Tx5NT8Gzmb1PDVjFC8foMo7hck3TBtaXYCnUckSEfuVSOQ7UkOWL2O9mULsBQ
Ktpq1U1vPfM5DkxUDfD4bszW6vdX+vFap65eqSIabxMqE9ktZvXB8+JhVbbyLkaIWg4F3/gMpm8H
TQg6PFpKBi+FGgjRJmdnVGoPUmVNyn/cBDzonKUKdayYUK3pB2df6drFOdA9G9ySKIqbWbQ1zmG8
r2f6RPpRyC2dEwBNi+yaLc/i7eyKYRdm2j8Q+gzRXKpmRdRhvOUA9qBbYcNbSK2lHLufY2BDIMui
HyUdyudmjGHUJfNPjuPqPtBNHi8iZfRLarnajZWp4WiY7ZMQ7gs/tj3AANjHsnfWsCgBSJHDXioY
vU9ixLXHF6XiizANtKFSYV0siJrugsKASFQkpCl9mtkAFNUb+j6o3OHQ57z0EZN7bsH65ZqYh0Bx
NRiQH4c/g8dwOaWyvEOrKJ9qQwdLPGn1e5rF9n2CO/lWNNTWxdOVJivnRN1mIvgAsxbco8fJZY0z
eQEfFaJDOKfLjnAbAlPvnbK2VCfwv9laBuSr8OAgiTahXDe0cG4NygGY85P3sWmvPkBbgV3gqspb
+DBEMBnOP3TrmLsIAvhrXKmR7sdUoXDID2+sUjYHwbR0bCtatwWgp9ymrSAD03mS9JYusXOle26/
u8CR0EVUGTW7kVzqKRrKdD1XVQJ1C2DdwshQVI+wUDDbOkTk7yZ8WT8HEAPiYMzZtB20RwOfLWfv
1aJ4Axec9kZ3rei2/a64ybylXU9pfYqjbsJJSKEIDSOGCte+MXYOIXmFTUy6/dqYNCe9uZsfTYE9
tR5yVseJijKmJg+p7HlnBorAbsgUMvUtGi6vlC6zlO0ya2v3KczKY9bhHiMTfcg9hw7gjLWDZzWf
/42989iRHEm77Lv0ngUalZGLXoxrGe6hxYaIjMgwaq2ffg6rGn9nZjWqpjcDDDCbBAqFSM+gk7RP
3HvuOatSbx1JmGkLS041FI+sxKork/yJD6oe0yTLX+L53Sny9IZ4qXgTZYU82QHhTrgLkF+Bf82A
ZBXmAV2dgVtP5kBE8tLfAXfoHvtynO5jvysfwhgouo5mZN1rMD91wqQXoxYxZa+TItkBIEDT0Miw
Ra/jT9A4R8E7MdU5f9GOo62eUEmADem1dShzUs1IdSbJpmn9TSkVs/SxjDG/IVhoF7JtsdU7ZZ1s
0OYU707sGfb8ncQPkvfPTZu6WEaJvk0XPs3ktuVSuyfO7yDehEZ159vQ2UR857heuvW6AH0Z80uU
nLpCAd9eLSXsFZOcbln7HTbqTrth4I5ABiFQDVhkrdgjbDS7r0jEKtAqsD2ehdK4nK2lp2n1Cp/a
LPZD/3q20TfhJaqfZBlGwSqIofbUhGq8O7RSO69zjWUFFGfdIyhiV9a0d7SUPs9/Cm0h0By8yQX/
Kvi1/cjpZ9jtsNYAo8+Cw8+pNtC8Dt1EbET/1I7BjmTOfsukVizgEOnXGkDm2vRcHaG7Fi+TEBdG
1hBmQUB6eTDd8M6BVbbOu+7gWzq5R9wtaFyZCq+Z6rRnWUfGtyEHcrNKozQV1ODwhhqcF0QawXs4
As1pt1JCgOHlpbufTgT0vh2N4pnxR3GbuXVzp3q3eSFZIbpw5emLGd1tRFfJC7Vcj2pHuTgBcqRT
nfG9CdBKepMYLjb5cgQceYn/jRksFT7z8uKYmQpVncU7TwchIKXcIAOfsW2qLLBA5l7TfAGdFcNa
F/6EO68fWDumdobLrjYL75GzlKA8YnOYZtljSxsM9Lqa9o03FuQgpzorVbdBJALy59wQjvYYOx3h
aoFbnmpFwp+vzxsXP9TeRnwAQ0IYeRKQYle3fX1n94W1TQuhXxiLSP7qGvWIqpno2VIODNGpZT1k
7qWRXBASrtMAZDObnmGZVUB8C6u7+EmyAl5fI7OP1nRAUFiq4qudqsesGbxHpE8Zx64aUWwpsGYr
KaYXcpGfpxo1swXeYBN04YqkeNJZikYt8zEMDypnJsRCZ6+SUHsiaThEBcXskrF7vAyDKQTaOqzS
NLA2TU7XVQIr2bkEum6Q6ODJBS5r7qlgUXaHFSjbjd5wKi7y2kWqZueIzpeV20QL0hwwVbhaAMiK
rYp2k5NNkG90LWWOw0QjuDelaR8p+vI9zOB83YRBce90WBqQojh4J0lUYUvNwIPc+QkT0rU2M0vw
AjOdB10V5a6KFU1kRbeSr0zfqg6aaej4H/Rx2MQuTJBSMdbUe+m88HtNG4TQBG6WLbRrc+oac+5Y
kquvK8Ih0Pebn6NRUvTCHvNWhZcJzFhuWTxiw+JlGSOLh0Zl+uaX5cQGpZDrakTMZyAAU+Ylz/YQ
y5dmDOSJjVR+TpAI3LH4lHvHgASv2woAnGNrmF+VZqGpanCnvoKQyilktDTb65xwOve2HjJOcxja
ASnm2Yq6HOq/BhfiO+Gu5iNKTx3bUVR8xTJDwtR4dXrJSh0TQVVGSMZLz4o/S83W4Q2Pw05nM0Ji
lw3cOw60mnMnd96wYMmLXUTJt0SSTQ7lSl3aIbde0HR3dMetSt8j25sOBajsbpH1HmOIRKNhWg4p
sBSPENZ7L0f6ivXUEu91oYxdjyOAXCEyn6+x7jONcMtaXWHTM9sNtI2B5OxJr73mK8+M/Iklkv+c
Arh61Xj211rNlY+4nPHeoZLcjVk4PftjHrwgf51lXzO3yag0550psPWWwMdaQrZEQmASRmvVlPAo
p+Q64xY5FJplcaTkEZK+cfjC2kL8LXObZQYAlGAF10qXI5rEJ81Og7056OO56nvYGsKIl7okBV0f
3RBddxshJtIaMiLyyn+fGLLwAORJ+epmDS5nam2K6gmxfEwBiGkircFZdvYDh1f2vcva/OrgTduy
bNDMBXEPak2ZF0FE195Cxj0YqJFRMLvRgQkJBdMRivsNOg6cLbz2SzRYRXplXdbQ5YHJXNshXPBF
ZqQFqUQgkpDJJS4Xx2YIaQEyOiPhTPZWP7oEZAdwCa28+ETzzmIwFw1EE7wnUHoMN0weCLbW9VVD
kOOZF4ZbrDAEOVcD30m+pU3GitgZJV10ntoRpDuEpdTZjjQ+BLrVWwbW/ZW09fLe7mT+3S7b5Azx
JD5MUJC+PMt2zz7uqJOypEbOm+jML7ttyGUy4h6feZe3r3M6+UtUVbXEuiErYpfDEjT12Ft4fMcM
mhy3qrciEdF6qO0Sjbib25Cg8B7rd1rVWE9Kpulnpqon4TEVzWoqkm5EMreQiRLYke0yvk5tP74D
0yJHvGJ22lJPoWSXjN6nXd0w1rO9rk43tAFc5LboKDA0p5j0QxSUVroK0C2ybxj88GYcGjtf2Wxd
eUeozN2YMCuOQcT5BSfdbjb9VHLrpNCHkqVBauYWMS+LaChn+rkrLUTm3BLGjd5KBnaywW8AgkG9
t1XhxytV1S+WGDFOEz8Q7Lu0yu8Cvih3Y7m19VizIBzXelrKT0ojq1vgfxg/iEvrGa4khYx2hYRf
s2RjDIOHuzmqt7Cf58lgVQ/OUnqZ89bmngNpjpIfx7TZo2qeTzbP6bcKWEy90DLhHZQcv1UVJgE2
x/2woLXmOaFG4jdgmSCIB0R5Ct+byRp7HPmqkin5rFTvM7JsgOQ7I1IRIU6E6oBgrlwLb7lpOVaA
0Wwc4OjYFQsPk//xICC/k0o4WiJbF2q2wrVCQuYBscborBbRh19byV5aoW0sE9WQTiJ1PYRo6Zcf
1SgxqA0WttWO1c14JIIPWFjfOC8wzDk+ILF5pIn4abyrktj8jBLo+WNlZTS40zgnlKaE18ads0yi
ZiSrjCUQt2S271XLokyyTLsCsySdtbJaTpParz+mqBCUeIZWPUcymBksVBPYgr7MTnhED1veIUJt
de0nEykvv3Z9GKu6Oo9jq63Y1dLjj+S2IAxF09iJLb1NHsCtq4uv0u0A43jky18D174k7H23hirV
Q5CmJmhzbCC7CGB6t2FvH2yy2nq3c32807DSfWgOox2R6afREPlna5vRoymDRN9Nfe4x/LXKF1Jj
s5OmcnGTFLl2p0ju+Bshxix/+Fny4ukWKigObgMI0a/Q8SDWJa6F0p17epandMxXSHrkRDdFyLlN
qXrphBY96l3HUfrXggnrP8klkKCwBTWkgfDmF33PZACHIPvB3Y6Oai6eU1S7roKszJHIGLUnBsWn
J2MxrkfdZz9xpFSQjzdFFwuoZfVHXNTEwWF+WSaFDqUvY8GUDQ7kZcp49s2GuGIxMRnLpA5mL07U
CRezlR96K5rO+OXIssfL09vMBk2UWgnMyZhIoZ4KmLMev0HexsY2HWIN4JNwVw5x64u2IjpO7+2H
gUTKhd2P4lqGzkeUQVHUZNfsyjn+PcrRzi9oxpBKDa75N5fO+LOMEFM7yQ2maRpMB+V8aX9QmqTc
Slw+i2odDSV9g361rGHMgZ4TbimQLPXwpUbiGzmVxtlUW7fjxksI7uJmKhEwgeZSnlymQUfYSps6
68gzu72eE7eZDxq+6pZ+N4kpgM0IMl9EKMhff/uzkPTXWw/UvI03nz/R58zKuR9+hZCzpOi8ytvq
VUHgfeZ1U0Jw8RAcJ625IxvBWXUczkusHcEBkk77nY1Xu6/0Wa3HwM0W+HeMutcZe6Db+Ot/3Z9l
ezNPABA4DDAPfeov11cxw3MEpNlZM847FP4j+Eags3/zMWImBvzy/PFFonjkEeDVLn75nIKFsVX7
hbdl/QkXuDMkEWB91a6AsDjfDBp43pHQUDLhZyu/7Zy7kCJ0IPO3jI9odrxLMroxshkelsLO0ktj
tiDPYn/S1laoPxRNXD/99aURv14b3te6sO05G8/Cw27+ItMsQcMykODe62rCgheTkdmYXRkORn6M
O5I25MmLLznp4K+AOMWS/Y++DLokOIzW6KwQM4yfduQNp9//Xf/X9Nf/r/I3DNQwP3yDM2frX1Ss
m/f0+z//8b9Y9KU/qrP/+IF/ibOd32ZxKg0IB9tPYCvX+02iy7YkSYe6Bf2KW/dfYCvE2Z4DUdyT
Dj+MYJK7ts7bJvjnPwzrN4F82HORiNo2cz7xX4mzxXwv/fv5cC3aTI9PEvCfpMVnzS+RH14SeYDT
hxbI3PlwELF9gnIQ61b4EJ/0nKCopZtPyRVCLJxIchZdNP9qbOagqqhIl0EjO1g2ti4rFi2NQOuk
T1jSIbDnu0FrMcLko6XtXK/q1oYQ1veRkhs+aCbDg2UnLYv9Fkg3cr5w72RqHRFqc7XCzLj1auFQ
9o/g3NkLnAYD1z9x5sO5Nax71yrqJVdwBPwjqlWeG805qimPKNkjC0UMSsUDhfBSFm27mqp+Qtgw
+64btFpT5eYbOcbQKmNQTaaNwzYvvbOvNHGDQkttrSlgrxKGxxHO5Qo/s7Oc6NI2uW1+FkzTkInX
H1kKiz8uQlTstQ3lc/DHPTnYze3kef0hDnX8uKXDanUUjKdF8y4HQjiQ5FcbBMrkcnt8phs63/1O
ipumHD6ntrU3+jASlR5pNw4ztTyavnlUvpoyV4Ccn4fSPAK7PFkyWjVje6DPnN3OGU6VUvsAet5v
/MH8pPjd1hbQ/tgZd23CsWX05oPyZhlsyPLFjueJFYSeBR3EcxLYw7qR8gUw5BxV5y5cSU4f/JKQ
aKC1pzCOoYjpjqKn4mN9eUiBV2zH0NoOGssryHPXuCpmcvowr0cU/ncGPcC+tGSVVo5+O4GCIwd4
LlgpG9/S2khHrOad+gBM6YNnHvgbcHptEUyBK69aDWFO6V7SVKHSGpzxq2JJDRUpNEumKgMZXEXa
n6ogvuiiCL8sICbLeMT8IwAjLtIa5jNtYfNZxC0LGVe7E6V3iNsmXQolYsZXGrBoBjb+jl7xGueS
bGxnunOD/DaWOlvFXl6nNOz3dpeEx7BEB7fQY9+4eh0LDJibH5BPSQ3TkrfUbLtzPds9jQRUd0d/
cydla69lUUYc8y4LA4e+KCr6dTaYWPytbDw2sbwIzbLvGiyk4iQloUBLJByiRMmkhSYzD4KcNk2a
tOFSS3qlrWmQSP6OQNT3q4RRGIk5WFyZELZhmmD99VOdljsiEVOjmbnDU0yjE5lp3RHba7JIgMKu
68u2w4OxKEhbYA0g3VGtJpilNEMi9+XKT3zCo1UkoKy0Gij3Ba1kp06aFabNrhUeLsHAiCHYR7EV
Fs9aHFUwO7TMbXC5pi7GVKnnMLU7N+tubMDb487N4mo8MqNP+g1bOBSxLGEq9z41SPXcx6QR5l9F
HE4enxt5PAF1kHhLYoMZNJBURLJb64NMWY8wpdiqdwjTtoHpjKSk22XvrDHUkRLlp2R9fuZGF6T0
9a7XkUrAqGSRlZ79xvpgfM56nhivifxrpSp3xJUpwnLhjENAZJHRs5kzOoZOSycaoNrZOSzLlYwT
LpakPiUbYM2cSRGcgNLTbVwehRDgRRyhSqwj1XzvcfJZqzDo8ZDHUSjiq5NHabQheS5z12nT1eom
iDO+fYtAwe0s+23WOAsoi0lMmUxy+7SCsXYbELLswJJIPko2XuHGgzZLJZa6yECtTkzvmSeJcwWV
c+dlQNahPvOBbYHcWaQdv2gRoE0e/aGyF2XHFgg0haMZxlvshME586zmvc/I6yafbijPLeiBDO3l
FO3TwZne3dnDFdSU4E79EDXyIWiGF5e0wVWdleOrayMZmOIguTUjwWsvVM5GZVlzz1gv33Rd7b4q
g3Xbwmys6U3o02fvtP6q0tvsydeqeYjI+JVAEmZmzdHh70VlSRdrg9ce+i49NeiKzK2n+VzRbqzS
paPQdS4S8q0uY4VtU8Nw125VXzQG+zkARmsjA0Jz5K391LGJlxsnKJv7KJWJeYdouPM3cHrc1dDW
zpGRPylsY9Xow52N+GjaJVapVp2exMF9Aoj7E4ytsBd9SGm8cisrfKjY/XRvKp+aivEWZsp5hIxo
FUoixvB43MX98A2cPIQ1h3tZLFzleEtDFdNGALWbcQvdlclGeLG0TC07IiTOrtnejjHSfB+z/S05
Oe2mTqbsUZt0edK8ZHitB7u4LTTdQ6XDxvahnpLxdvSrNLl2Xp5/y0zb3iGC7Pd+l0rgRa2bvjuE
Zt5qNYIJaTTeZWhSHJBQ89xvyoAekoQxMueZ7uQsKrP1yU5vTPfLhfVwgkjcf/lBB1k49HLJLEwr
5bKW2lihjHMIKpS0ickXilEyBSMt0AlnoFwm1sV5Tnst2rL4NOTGowRNTiIrB94KY7CehV8POfsH
AI5xn303JAl5ndT6F/aFbbFCH+IxA2a0Q0IwUP1FOEzlRctD86ySWgMjTJjkgxaZZXrKisGNd7HI
LVTzodaRYasH7guKXvaNUe0N26jwc4NEltj6zLWqu2Uq7T7oeZacsrAJxbFqfPmYVMJ+m1pOkHD8
feyUjurF6TT91hgwyC+SMRnO+WgSXEDW0s7vPXMtlC2OgTKaPQm4MZkH6M9WGF2xsss4rzBkVwzd
l5M2WsZC86b6cQiEdkNHg550UHXZLhymQtU51UKQ+pNKM3zzZCYAw9HZD7T6NCbrIGnyQ90MLVo3
06zt2yrqkpe0hrS0yRHodmsA1r6JadiT0cFD4Tft8Us3JLuGzF92CN45/1gZsZvubEMbL7bjB8at
po+wwtkBw9XUfHgpbHuYFK0K0H5q1ZOFEuM1int6eFfEjL4qz1anMGOEsuyyvrsVBu3swSomWz/1
UTSla93TCpdtdH6HhmsmCUTa2N75ZWgXT0h7mInb2TJKUMHgUNTXWcwj7wVofHrhdOdYCpxwTek9
+EPq3EZULmqZYlhBClCGO4jN5o4Ut4GxUmjsOM/SCxbxdOfK2t12uJ6xhJP1CPymnk61b7F0ymoT
njNaCwgeSKvYh9dd9TG4qCcWdO6UD6Z+U499uCLwCEEwdvkKAMG6cbBQsIZFyyza8pgC93mMajb8
MYsgdrWFox7QdQcKlQunw6TlRFaTclGcKpgsMXM8knV2DMZcvtaisaGyRIHVXA0j0S9uLc1zogXm
owUgrtyyXwIqkjsxr+W0cRzW+xF2D831zUcAayxkcnz95H+PbXs/gMIDo0D/eQiMSX1yzPGy9Kse
M3HXB6baJaHO8o3+470QqXccLT25Em10LaUYtjV4J2jViMyqbLJPeVW4q6y1j+WEuiQz0EI4CLoX
gOaPvWZP7xwY0b2SRvJZMPPdlnEpEIcRH70XTQVUklam/FQqowRjIcyuDA0FCiYOqGII4H1aYRVB
kqpNa1OaEpN7aHIQbPuBsh0aTeNt67w3POKbhukSs55Ywu/PP4p6RMmnoStuBFb+Jdhyu9y0ZuL5
K5Gk0d9Oxf6m4/llIsDKI9PzvBn2FksLzMx2XR3IT4wefugBr3+0UD8yg39u4v9orPDi0sIbjpTk
z//cWHVTmuW+r/V7OVR9tmCbFMHWL4nP+evP+XnAOH/O/P0KBlU6HSH/+fPnCE8zGkxJ7X4Cq/Ae
zSe800x0BIq8IhAVWhx+T7oJBZmFWNj9m0835qv1c/8ohGS6Ca+R2Tcw4Z8/HuQquUQVyY9WFRab
YC4EDJc8Vfz3YA37Orl1y9/xZBZBQmM+rOB+vwDteJioLqzfywyGx8lceGQOdf80XAeZ53vHLIfi
oOuKvT/5AvAyNByklxrCSLzIWdAxy0bigvfpjynH/yHreb6edMI6QxcurGsgffj5F5pMK0AC0hb7
Kawh0pbkqKNVyEPIIa1Dvtv8GnfNv3Et//kqmrqj41t2qUwdAvJ+/tDK95XVxV7Nh6rpxCyZWrp5
xURyCOVYwvz8H+72f7gzf54Lzr8hH8YsjF+Qvwmr7s8fpjzTAC+VNvt+IoLaroxP5q+bVB+av/mt
/vwImNyWto2HnCGHac///4fZgsFmuWAvku3DNjWaC5hKn4MzE3b7d1O+/3D9mHPSRc6DTt2Wv3xp
KsZbDf0h2QPucY5BS0nht0Mwh0R5Jl4swzRIophC+rwi6OtLjAvEurrCBvlAyYdNj+qvEChVmqr1
p93we31Y/V4r/vXF/9M1wZvOrYWNWHBZ7Jlm/uM1Yc2tQJG64T4OAl3uC7dtrmjNaZb+688xeext
4KzMQUzvl2vvlEFdKkU4PGHmkugCiT1jpVBP/GEp//9Dwb8h3sM04Ln5n8fuT0NBqCfv1Y9DwT9+
4F8YXvc3U+fB0KXBjuSPLM4e0sM//+Gav/Eil4aDAMKGcGRzp/97KIhzXzrePKxzDGeG5/57KMhP
IMgydcy+85z7vxkKYvHiJvz3Sx3bMDnPpmAcZ88Hiv4rJwB3Izl/XmpuC19YD5GyphXrtewwSBZA
He0xjpT0NYhTkLeG676GjNpOrL9amg3+sLYo4p1zkFvxcxQEeI+7yTkLDPr+fpga3H21AQ0CrYzj
PBtTD+0PeixExDiYZ1ZNme1j0D0ojbrpGbxF/oXcqHkOJklxbpm8ShypDVfdnfl4NVlKVpnHG+hZ
xmGoOuOOfMPyaJE4eWD0xsnhZc1egdgdVsLQzGfNmQzrWKAiOkaJZ2LhdK3sgZHYpO95kWhHPeKD
lrYVdTMPiuFfYKf+I9VziVRKs4+OR3weCX7ooCLNBcddkp/0xBZKf/RR1nsUL4q/28zZGZgg4wnW
TCbj05sfv4UTpPmB9bMihcuJ0UcTn7eI6jY8Yf6V1rLKiRJLkVehhnfM6lYrSG4ncCkcbz3echua
veycuVBqmEi12ISQ8qbtBSll+yUoL+98M/Hp+ZHjURTaiNJgrXZoorSxvCGaDxhSqbtpsfFBcyB9
Dbr4FuLPiOrfzjftaKKTyjj1sDkRsYooNT9RItn7SAg1rZDimJtUUvAarY1oaTC/4AdJxiiBjZkp
S6xqF2mEhC5yT2/d5dDofLtBiyocvHlKsHIQxXvM6XI9NnqxqaWQ96xs5aYzzepzbBKmSZix2m1L
y/cBkL1/ZSPuHJiMwBEl9OzWcUfjsSfU7wz0PmK5PupS29iFHmnroe2gj8ZWpMCDgvg5tIoJKNRn
71KV8D9IFacDtyFDHhgHy5OVoS63m4YRpV0waoy0fi1IQn9jbZc8pJnNWEO3gn6Xwx68DScNWJpL
rYePzx68G93xgkvh6EhBiR4EuVi55skupbHXhWZATvNzzFz1ZKTIhbikLkhCeDuaF92GqqXbir1u
OPl9fZ/qk/+G/AeAf2xZrxIV2ZHWO9kpozK4TLnwbipEWoARJarBRdExO0PdMQvMYo9unBCemiYR
FCRjbreeSJph3jQuTKc21uHYVXcIR6aNO0ZrojMJpinKt6JI/ZXv5Jhumk57Kmd/BQllB31otY1s
fYQdo3VpYgsHuO1tgLoBBK2sZz9AbtASFAQ9YtYYyQD7i9t/Jmn5AbG0xCxR3ZfI8rwQWx0w/nXi
Yc8qmNk3k9VfUgYu0i5w480gBvavmzx02hT94yz/o5pGCthDEM5wOWDjCVm8Lpq8ngBbj7JhON7a
h8opl71uUllbaWCCXW7SkyuZC/AYdo/MuLKzpge0PsLMt4nVtO1t41BmLdTv2sZJ1wKgv9rgvrWR
SxBE4zYaQZ2NCj7gaiEC4m1iDOtcnxrvMC9Ng63ZcnEWeHi0gT1Hzz+SH7KJIftddDmYfaudkKKS
kNi7Mv5k5tpuWtwFG9eJbG6LZoBwbFtbvbN0puSl2IuKcNeu15GrKgtUGJJO/1FyaZdt07lY/Gzm
CspL8QEEPfhOPVElRMKm3RAPz4LdDvV7N6qmN1eUhF1gp+iOKU69vSn9+Oobrr8hwC/8KsIe0B7s
KIPRd6OPmzmNbh2aGlqWicA9vF1d+1pYaCOAH/eK7Mk43IExow8jvxawYC2NM5N8QiRjLwTqq6oX
zKioXKuxWpU+xPaU1cc6IUzoHuZB9aIlbcwGho5nZURSbuuWXovrX1/Bo5NgYRZW+00NWbKmEt9N
yj4KoOSnBp/uS2Wo+qjUsGunWLunF433UebGd2NYqotT6xMQ2zjdullmXsvsVEA3ZywyXvUmDFdQ
Z7tHNlXQCos+M5bRIMv9FBfajV5D6zqa3E2XvqiSE106ASJx64mD1Sevvuc1r1KL46cybPMzlzm+
TePJemswoMarstIHklHIhr2oAId80BFNtTDUVK+iFuICKl5vWduucQ7SCYxe77dY+732mIyThVm3
swl976ZjpQEGQNLCVzcR8LhJpnS696fGqJY+Wb3P8KHN9VgMzYU9L0ssIv4IKEkm+KFOFH2WcdDu
RdfyJaUaKsbEUtxl82fLMDSvDfiRjcJ+sTNE4XygUh+3DsD1Ys2SGJZrlmSY4Un+GDhIM+0kawUG
1ppldj3HfVGVG5KWnM0IGPOOLGz87Pjl8i34/5hQRsJUyOEgAB6GwjM58dNjY7nGaTKJGlsIWRqH
wvJLNIWBKfZKNz+JSSV+WPTxN3C02BowMRWPA2Hz6BMpPTAil5U8DYUbnQ23JvW25t0KYwdnZRZy
GyP9w7erLmZRm2oBHlSZWKe9+K3nfYqiOcARDyQzy2+l5eJC7MtwesiBsxCXRYToQUcE+VSXcfc4
ROKzanMMj6FfawupEvMC7lR9l22jNpkToC8cjcFc4MJFEAmxeFhDnjGeokr2D5JXzbsPSJ+XroFZ
feHGOosJSJzFoxyj5HtiMk/CGMrGKwhZGaSNeA2I0HEAlJTmpWEghX0G577SXBCUdnSYoIG/eL4i
KqPe8Wi5x9L1UGca6NU7Te2yUtzrYCoXRGz2BzAdN8z5S7g1JV6Ntp/2WVSMQL0rHpJdi37/iFvO
ue+y2F9odWvgFfaavRtEFB04cutvpHDdMNXkixqNao/80t6W5CkYC7YM0SohLHCV2UZ/SxhmTb2n
c7SintsUnCmPrFISghRgy7uZqK54KYbHuJgg3saePZMgMbXUCaj43NYe3EGuBwuLZ6Ub7i2EivQG
b9s8DwqjZzHCiu6gA6+rLis+yeaNtz2+F5Y/8IMHmXkvjpmOF184+ScCCBzqNUjyRe844z3j+HLX
RvirCqPeWUoPTkGO8IYYR9gNcKOPA/rTLwlLd1n49gXLbHhMNY573JHi25gxNCQV0SUxm4h5pGUj
CJljktJ+U0nGw5dPeMFpGiMVAijQnJvRqXiR9EP+Le0qA/dG7SIT1Jptn/bh1Rmpo4TyvY1sRLyZ
Ilmc2VWxxwzJBBa+xZKgHj5RhNfXsAAp6prNTsAvXY0CD6vb4HqWwIdPYNvxcLT9iaIzXKH4tdC6
GcnOL3it57pmbQoz3iLMwfEdfGPE/lkI7yKVqjfE8LK3t1Qo7/KiKMxlWehiE5TakXdi2hIaEQUP
acl7Fa/+ABRJ71vUQPjgp+MMnN6YY6Pdufpo6q99Mbny0MEY2Uqn8Pju88T6osjKcf+ZqXjikCq3
Q9+I79LGU3CY0F6Wi8qNvc+udYXYwDyY3mqr6++9xJYra2qns15r51hE9h3F5HiIvIjdkF7HJ6Ll
PKq5OfTeZerKEl6J2l/0lW0+JLFQu7RuakpK5oB9E5HHXDg3vBEILSpVenKU0VWLFOT+S8FPnIyU
6KMldeZ0UzXuGLPiLOVrQmV9nyM9O/G8MncQGqrGqhy72xjlYY+X0nHPliYafVE42QTLkwqXbXeM
qmAQWXI/Ccco10VfqFdiLNITyVyTvhTwL25MfId4biBzsCqNUlg6yslxejXk86F6JleKAJ1wWsZl
paa1mnS20rFfBM+gXdhEFAWOgEC3NNSllBjIKfe4k9Ib9pvO7HFIz0bnyFtYPZZJAYZHehmlWUpq
Rii+qaJ1z44Xy9c2wP/HrldjwcA8N1+mKogJaQb7OiwtRlUeQ9+BnVteiHLtT737UBPxiUmDrex6
YKqH7BZggVXasHY8fJZ5UcUrDZcTHje/2vLWeu/CBqq+0WIwd61gm7hoP4YQZ6qhsLrZXyRDqZ2f
5dp+gFCzjFNtrxfBzrLDG1QlEP+cIl0lLEnv9b7SQBbDW/HtBMsSmQLLxIq3gHH21AlM+K12WvYQ
enNqQ/4lB8fOvnR2SqtQaTsDPv2CLwKsqsOREyYe7Jk8eIZRDrwvwKsdTGAaEvUIPEQuaAf7TRU1
EIiMjAx598wgCNAPJGozbIYNzcg39iGn2I5WMJLd5eSRAyJ19dbk6IF1WjPGw8aqaaWzmvBz4VkJ
mr0EErJOewFKGcUiSr/UXJlZx8oApPYq7KC6O6B58YxWmzQxVnoyvLOJW0Fk3TXoOVZoAC5TK+Nr
b6Y51nZ9OvPs4XAzfW/F0SMWfT9WbEQ9wzxEGQmUfsGqgWBKe6nKrl0TR9mSihw65MEUmbmZ0jqm
KNVG3Kp4z1gU2gJ4eRKP5lLzWiBOMmmqkzO2UYh9nOvrwi0hwFJjc2Na3c7SpP/UCqN9qXG5RUSE
JbOPFyDPcSBEvVhNmP9uCa5Ng7WjCu8pIaT8vTGVfySivLeBvmDR6GP7hcVsq9aNZnuI+icanINu
CpxUhYLK5Zj/m70zWa4cSa/0q5RpoR3CMMNhUmtx55G8nIcNjGSQgGN0zMPT9wdmVFlmSlXVMtOi
F9pkWhiDDPLywv0fzvmONe3UoA8LLg79CYtOetdgXEESVKEA3mpJWh/wLTXUoLhVOPI69WTbzZ3F
6nOrN+K+aRLnyAHDwkoqsRvS8m1S0kJkMUsBYGr5Tu2v8Rh1n+bYRgAVsCSReG+hvSEIqOGRU/hv
hXCXgwlra4GLoXvlyZJLVlcIArD5bEGTuNuB5F/cBbRwZuSHh3gyhx1pQYg8RGT4a7xy6miEnPmc
Qnr/GDpJ+lKkAAqk27Q5NgsMwYLCZWbfZOmwCGIr+W3C+r/Tt38yfTMsZ06h+vvjt91bNf45DOu3
z/ltAud5PxzG/IDrHGiLv5/AefYPG7DcrMAUzNoILP7bBM7SfwhGbwCEeAcy2vZ+N4HzfpCqxUzd
ICbRnz/yp3jJfxQ36XhI//4wgGNI7FsGlFCLxvk/K0ATw0Rkk0T5Nu40cc26AuwxXUUGtzyOn0Pe
Xy/4jNI9ZBweBH/OSZ+Ju2s9KbsdIzAfJVrV3OF6inLQcrH/WFB7PJt97l1Nk24/SCeozz2wmz0J
v/E7wc/WVTuHsuf8d+eSVAJYBe3BuCyNxv6ZDJMJMa9smytgBuY9+jOeFIla5mscFa2hcNN7E1Ps
SrBfOczl/6UuLagMjFlWTeRm+1BhynFVED+iEqoPFSvPR+6I+Mz+cyMZBuGL87tlnpU8WtDJF3Hc
YFD0yIiEV20urZiWAi8sEQqhUyKDdYvwyqfJ3spaFit7SNKVBTxkbYkhu5NN5S26IW6uWjYuK/BG
cCExnZJ+rJ+o79WZzEvtMKS6vcHv1F3ZZmdvOi9J7rpGb85Fw5Ude25+VZp2za4T+LNXl91tmnP+
d42vL+iWwbG0zlXQVilqvYGV6dD6L0ZlW2yJ84573bTXmlkm1ylgV1CoVA5NpcZF2jbTm5/ZuCFk
DEKCfdPKjCqmHFC5wfs0zDds3cS/rL7YqClgKE1FFPSQJf0LAUrhI+j9/hlgeX3vB23wiYZ6wsYs
JtVBgzdYU4+k3COp1Nus3kgr0l8y5Nj4hCi0GGFN3vAaj2VvbwhIl5dcdMGJyIDh6COuWVeqRx5l
T5OQqwK83grZzWjjvLdgCOBMK4uFagnJEl2bfRnj4OyCzsCpqQNT21V1kZ+szAZTNDjlXQrdgxDd
TCe+0/sahxjTfITIgcQx6wxYiSAOLW+egI0iRxN++0TEgHyk5CVRpdRuyURSx7jrzS9tkM4i06E9
wnctWzgf4Qh0yox/RpF4dRwvOKtqRuwNXnA0U8tZtX0+t69xYRizzoX70vOUc8ZeE9/C+zFWcqrH
A3Ff3nWGQLzQEjQbuTHjSsLuBHMpf6vqFpW/afe7UIroVI0q2cMSX5vhEOyIXARyaCFuvOl9UVzj
LR5h27gkk4QRRD+rcsU6mTrt2ZOOfAxVmuzzpO9fM7ZDbz0JG4uIDmuFTVQce6usV9KHs+g6N3Iw
ylurG7Kl36bdG9qX8tEZrGhbFa31ojpFykLbEc0wWoFnoOlELGNjiIlW/FV1Fdbo7env7fBIOloH
dapS184gaUKEUk/A9bECRRlkCbNEZQfKUuFth4oYdPpIUg6qUqwwGcT2hNPhmk0FFx8qOb5fHe0m
Gkejf3Qz6R3op0fMY1pxDryGIXATm9dyEvVZ5a2xbiIUU3XnVUii6JSBrijlnpMohCcRpDQRaN+M
T4FN55MY2vKMO3SoVn1WTgYQki5d4+9VCCLrmsFk7+r9g6ww6W8NV+jpknI+8VZkQfurDBhDuUCz
jLjBmuurNu+cs5l7eLcBfWxASXEOskPQnZVCjCfmWEu1biyvk5vJ08RVwwRtWlQcxS+sRzChgBOE
8pE4s3yHjCQNM2LKcG9RSWjbh2rqoxNZesUz6+IQ4yS+qptB6/KfNeOageo7NF9toO/OIgf58jIU
wrIXHIj4/kkZ8ZjHp2brvYy5Tb5EpFniwUD2cIXkon8uyZPPD/h2LHeB8m3ca73u5NsmExbRaxSo
72ExkD3bMLJ+JootE2s/FdVFn3sCC0Mzh3YfjByMjNdQjzYExbVmN7Z4LvW5fDZ97cWNBlLMYaJi
X2ZLgiQN9Xqm76Q0VbW0dK286tMYMt8wNNawDk1jnJa11sfVdmQWx8bGdIo76XZUVD2+Pg2pZkXE
WjX5xJe2rhthY3bM5k5Funb0qinbtJlqqrXXRoyl4zIb7/QwodJETtW+wFFxnSWK25xOv+1tuU7q
MWI4p0F30msnwGaX4nYM2Td39LQkDjN1cfcGKSY1YiY5fOGDzZ/aqqi3BZMk3IY2LSo5PWV6KxMv
eGp7vz6nvv1Vjlr15kj/1h4G7KaTgx9zAevL3bQgGg6t0w6vo+jY7tht577a3+DNeaa2193QCxbS
A8QWGp13GyRiEpcQABKzIzszQBl4Vb8Bh8sPUHlRs01Sv7EXLk1+T5uTxQ9sNYY5BCx8JOgNKU2b
2vWKahVDZe9W/ScmrnZhzc7LJVIOfU0ys3PWkg5DKLtt9Nf4bZ09mRg89xUPwrNiKnQ/Ni5ulcwz
wUOSd0D4bWQj0Wac3OF4DI2HltbjnGQOWotE02O5zlFePjsecE06A0H8lV3PsKRJBmQAM/g7FGla
PjG5Bn4qMSmqZeBlvUMaFMGPc7gETVPOL44cSINETr3mG4QJlP4sNYwoi6GMp6tc63himsBIn+DF
tEfOUONNN5rxiV2d2Kc5lBaS+qaYsze3bPJy05oBPbDaF5/Pv6k72qFFlPj9Fi+E9gJAZTiaI2s2
Iv249LrBAZOd+48hMYsPuvLTG9tCa7fqB6dbRQ2wGrioQbUAYdB/cug213Fg07Uxgmgeu84eCWiU
VvGqJYXa+2xq0XtYyrojBR7ZNqei9p6jUQIISUYg4B4/12xIVYJSgYVG+oY7f1Jbreviao3S2Qem
I4uq3CJX05+brGL0gP/304tskT0ZfaDbi2rsvdvYiqNw4/UMLKouniBuJkVy8SMDPXETuGa9tEOn
PwZNRgpgTAJv30QMK2rRI6RFwGbEU/rO74puZxqEeuzrhluga7jfbWO6TaoIAkhC4A78ttKYV0SK
CanmzRZ9s9T0RxUnVrtEmOwRsjS52WIgkikE1Vb57clj5zSukxbP4CqInOZaZx3I2xMbLZbLJAqe
A3eApknKXkQHzquK6F49tlhqb5pe+qjTJb/3uMLKgYBrOk/DnKwNGr++bY1U3fYiAMnaQKnfuNgN
eOJDme1lNLqnGPFKubS54XhnOKOH9K81NkZhtMAVuwSK4aQ3VLQGCsA6ruJrl24XQbnIzbcJn+yj
VvoEvRpsCa7cauAV8dOkRAYy8AopW8mdMYTiLZGp9YEzjW8LZmjz6BtDz+sLsGcFBSD8oDtMd27a
+o8Sl9U2mgD/1lpjXiVEoZ/T0QEHoTnpRERi7Oy4aRWZR67BCieL2VFtC8SohNgM4jjYDQ5klixN
vJIyql97pCaomVErfpHyk32STWcdnEAL39kBjOMyrCf/xBz6KoKQtR+nlGv+uxP636bxnzWN7KaR
p/2DphEw70f0lv7lUr39/Kyj38s3aATnT/7VPfo/dF2gtGCRMAdvzNat3/QbnkNfSTvJgW3ZBoI4
PvJLv2FZP0zHMVB3uB67Q/rIv+k3aCwJvJn1G7xdve8P/TfaR9TXf2ofEZAYvqE7NkoRiyyMmVH/
e+EVPANK+EZsc+wTK+nVI1G9PiJ6hQjgg3ckx5UeQZwtHbF1NZJ+MjtoCByMg73pluZPrvF8x6WD
wB61RZtBArKzJn5Nq8TbFJOrWK80SflRssNncF7WS/yw4ZXG5PhWzGCLos2/1fFN9RMM77gdotq7
ZeMg+zXzF/sjACwKT892ow2ei83ot2cZ2+kRSy6A/t5tiGYL9ww0baoTwvKk8q9BVZc75YftsxuW
/s9Ec1uLCnoEOKsF7cbKDVTgaZwOP0NpB68gP9vDBKFn5bhDs53qItohd8G4BJJuWw9luwrN9OyP
UlwjmejXoxkXuyLCUF+O5CL1JSgtyfb+0kP8Wfsxgm6c/+64DdIcTvYUSPXQQeb5lNiTz42uWYdS
tPdTrfuoWmpxsbzSJkTWwdtmukXAWS6LWsEBBoG1BirMxTLC69uKcRyWDByTZ0zEOtyhoTnkifmB
Tb87B4mUJygUtHGeAOeNm3xvjbUH+h0S9yJMPPkeYS17ggjCCkkS7RaKOngH0g60c6gd7asb3eac
UdI8F9xMZ37h/JwOhqqgzAlI1u0roi1qmHYCTQGLHlpQXXwNNuNt6jjQ1ymbhEOZzEpizk1WH1AJ
JgCNdJZsUnjD27xQWn5nZ2bMQpMZJtmT+jP4ci5UNy2RcoNEVEzV57a73iHqLle95fOjh6ZHJ9c4
i65zOpB4YH1ABgSPghJ75Ugju0fT3AAz4hZrpsh6GejBdq0piDCzvexapnOGdCXY5rsdU8PKhIvo
BfW6TzxYf9RU68yJPlkuBlRuuXKuDMJo97jLFvzS9ZNq9OzUF5P/E0FC+DCAHGkXTGUfwTKkBxEF
7n2fg5JZDPCg6Xgh0PVKN2+Ybug5o1XNZmBuV6hrq1b9BMl/DQpdWxptqDYt7uOryRozYMrugPgm
hSPqmrxrJRCKhxTce7kaUOtutIzXzI+JA9OqvH2dwNAdNSHULTWzd5wYdG7GHvSjNbABtusFKKBq
q8gxeEzUQDAYSayLSkMgU43xqncA7wHnyB8MQcAZqWgTgCV2z2s96GlvyygOr5pCDy/WZNhMZ6x5
EcaoFsZrD5mltuaQywDUdTviLvYQ8n8IFog+o1Wt3GlOZW8qvIyAtxNQIsVHbQwHkQTxUtP7FbQh
bU6oPmedpXaC3cfS1917FlIAdHNzr1hSYmaKSMv83Vn9X8harT8nb3DqmTpeWkysxpxIPw/Vfnfq
BV4MV7fmOKCZMKNFR04nWx2V53DFRK5OlPjmsofTxm75OR1SKwLhX1VX9mQwPw6DvCUrs8MEk0Xt
Ko/y9Oh3Fs0dzorkhMUkfy5KBvo10dIWg+yIRLemqfQAWtuU3Prfz3Py/WxbESL4PXk0trtHn2Yd
elhaI65Ry87Xra0lr//4R/fsP8pKZ+cuUWqzBJa4JrS9+p9O/FFrGCQmIfxwJ2T1RgJzllh3mhhe
sYTECwOsF4ytsDx5VeuFSwy/ePG6QfFuqBSIai10KmPtTFFBPh9sa0rYGSYZp90nleLM2xjGvVf2
O5vKr7SmcliabfUq6oYAYCpebLsHMzXFMknkR1kOxZL3VnYhDqTaMzAlC3tMMd8ZkAbMMsvsZZ10
JQnzibXPu8pyyQbQmzWvo7kMejhPnUsgn+MP2aX1ev8Vn0X+OnY6UaUuUfAmpssrJ0TQloZVtIl6
I9sWTe894/kJ9m5mBZcxk90tfyScdmolTFYrOgwdMHpUHmI9ZXCb+1ZN28Lt2R2KftyHxA9goyJP
dBM2Zng34gnoFv2ElIxvu2cAmUSbhMCVLQYMd5Nwya5TC1MpdxBSj6oOqsfGdIxVaPnqkRLfJygg
t79cOGEr2STJsQVAsxiUEx9p2kJ32dam86g1jnntT0K7s+re3LFMDrlbhF58lnExPAITdx8dr8gv
UVBWF5E43UGfMmNnGXZ0Ckq9guVp77NKrJouEiQ8Vs2yFPXQAAI0GJD1fX8z9Fly1fU5+syIaGiA
skxl0xEMNEPA6q418d0wdKDQLQzz3WYLdV8EdkEScvoQNXGPNWNyejjq9ZS9gnTvzxMqzNNUNdFW
j+rhmOM4OmUCwSCFszx5zkinWkHL21REkgSQTkmO1KtOnTwy6q6ZI6gbl6E2y2QjHEEYs95zEKSs
qwr7KaCK5NL2UXF2kYuuIhI65kWvOgyu599E8ymSlgHlirfHrIdiMr8eTdx7NBVln8LJDMfzULuQ
yISHDYhrYglU/lLPZ1bocnoF8zlmhUZ0k02a9iXmE66bz7q0wn/SV+bCZuOJoyglH/j7YGy/D0lO
CnvVzidnNZ+hooo4Z1JpThwEEYxfcz5vkU3lD8N8BlemPRzyvuDMVWY5PucBedlmP3KiG0V52wG8
P0660b46DLdWBSZFmvPKRF85XwzxfEd4821hpAbKu2S+Q0qk7trOY0Akl833FaT7ihG5r40Ns0Oj
9O5HvXCuibmxg9Uw32vMzKCNisJInG2tC4hwnUJRON+TbRVPK/Qh3KC5CsV7r2KHq4L3tMU9JdVR
pRn8FtVA1y2guG6DCFL7qvq+0nHE84sdNWySGAq7jYEWoFpMNb8i77tqGOcCgrRN1LuUFOK7uEBd
Fi/z1nOAkVJ36JSPgR+R4J7N+psgFQJ2fTscs9QgJcPXhn0AdINEiixDnaSiVYdUYB+3LbHJpJES
5d359jIfCiBkdHoAJSF+7a2mgAcQZuZTVLj2Ff58cQv0McgWFYk7UNcq/7OclHkZmOl9dCnMdFmP
8gE2dnMHPG2oV6HeenvUgBCKgkoD/se4hmbT79Ejysi6cjWLoAsNhCU1HVKXHhvQ7Lo0nUuGuxdg
oMqumrbDvql6r3pnE/2sM/+ckxfmwZalO5ssEMZW0EXfeyE/OLIUc19pKmQiiDASvz5zrIWqcWtZ
ia1dnKmw9p472HdZXLgXDGfOUnpcXfSdxb2CEQ+xUK/SvaXJuFllEjcOeV6CqAtDgfDxh7g+u6Dj
127X+1B5pf4++FP7YRW54jVG84fYiAdt0/f4/BYu06456puXcWSCvcVizFOMVUceUIcwb6qEdvDL
rt9l8UBuuMcAbjaB4bEo3RCFq6a/GIO4TFh+7lFdIhkoNNLZ80AewIDXAy+agEw8mslrbLkBAGvU
7VCwsuY9ZJb0qtqmXuueDVWnSIItf+Vdx7u3ntUX6ybL3aOpfN78mtekXOW6vNFgpyBmhNuPN5wq
cNGPrn2R/BgkfiDpdpFOFRDz4Sp86qbG7JMcALpxCgBthYKYtbhsyvVsMnku6sQ+dGPdnh2L8Udo
ME0GNM7CmKySvWdGCT9ALsq1oGBfs55xMdu5B3BQXyjU3omhxcU8ZKTe+UGR773KETztCEkWeVyG
t0z+xy0nD4V1kOiP8SDRUhXZo2Er89kuDUJ02lQ99Y4TPwF3qz7RxaNzxfC465rpFY3qo0VmPRJ0
wFJ7xy7Opttfx0ywKfrB+rUDCeWJ4K7gsUI3vdY7CMvMjwtXR3xiq70g3mepB4lzYKZn7aZGxWuj
csYXqfE+1UkbOQ691uKYcYMPhFT2NiSooV8CoKWsn3IyH/oBscYQ2T/bNgq2vl1qGxd12QkKpjyi
TiNypM214tbVOvM+on8ZlrIYms8Orn28tJJanPIy57QhcSe+I6WLxcSEaWwRE0y68WJbsfJglePH
CkO/FjgERxL84fJVO/mWyo54X09VBxO9Fc9Pzc/epTPGXBB/YcAVFfygI4ovQnZs2pHrxK2jXY7s
dt37aY2/gcBXM7CQD5CJsx9839xKh38fRrf3nFEJSiQzo3/O/HxEY24VG8tovdeolMbW7BD6BUKD
tJ+lI09tNepwrnKgBwtV1Ps4rV/Yzp0nT//KG9msOyMw3ppO867Z2HI9qvs68YiRMaOmvjVDEHDb
XoK8jtkpLaxIPGZNTlHdcrfDADIAq1X9lkAz4mUja9jqLTntkhXmYxMO0PoDOE7IVLuKI6lrCDI3
1Y3yggwNLCtrbZUCabhnPDHduxg81TLRRbvEU3hCj8TeELdCeoF5bJ7RnyEhDEL3zArJvGl7STqt
DRk93/qer93hGrEulpH3X3byHhBvnvdqcGctbOReYxm2d3MCMWuN/Jwx3SNC111VNQnMiLnirSvb
klOEwAlnqLVV5vwckUfEG1hs7ELQvOfL3veMlWIn2fSMkSkIj40JTUJvn0XyWky3YxQy3meiV+Zm
/BU74VWSZDmSFqXfeE5QvvD+4vJisXTdYxo5plGuniGssQ8ghVJzlhr37JbovPZlcmqYf5lvvQQ6
6ekui6Rlo9f2vmZMfuAmiE5uSgQvOsqZiZZCfdRqioo43DdVzHjRkx7ggja6YZPr3o56ML46jIUX
mgizfTXZ8GZiwMdeDuhiR1oSqBjVeMMzYz80k3lhWLPjNdqFtpPtUzmSf8B4lwWyP9yZbaC2wIOn
7YjicoMxMt7ZM4wZyMS0ItN6XHfSGHbUkDpqoIJwKnz9enBx0lzt7bIdNiH5f+vENKKHSlL5dajT
0Pi3JTqryt+FaQrGvpAAkWUAg4DvAcFMiLqpQ532XHbjvEEdQoIsZHYbYuIGdE+W16abL1wBZ2Fr
GMlDqo3qgKO33aJvoyBLomnTelBaV2gv7rE11OupVQVKJgwaC5YzatbVeOaySbUewE+d8AQmxBTx
9FdEF7ktTxbfSgEaPeMzuoYA9DEATgoCldA7lt0fKsytXZRwQgRWRjR6g1UdWAbRciZT7ibPq4Uh
kpg4NmSRK5gc/TJMnNXYJqyHjSA45+wtcj96dxjMxMkcI8BnRMGxylg2mQkq7BbSKls31NtAktap
M40HJnz5ivLhlr58afpAWhMTfN3C1YLsHKH9W2Z9562YE0xrOTjAs03p0ZuLJD1GwvF4CQJj31eF
Ae2nA8pp1vlXFKDDd3tMgcIatWWpBQZZ2wFb8hwu3E8zLZIXIrSqFDeqGdzaWufjAHLTC70KjGmJ
+ReBHJMl9rrWY6zZ3bIJpXrJXCtbmiotjhhEYvo/BRGT1ctOt2S6tbuqPOVWXu9quLSK0GZyVL10
QabkxFI0NrY8YdZDQ7t2aTREmzmb3LXMmH1EyB8MHSl2EyfHwnQOQ70bBa9nm/svqESWLA7FLTkL
PgNyL37EYW/vyyRNT56sscnzCO6DPr6EBG+1v023/65/1/yvWmFAi4JtMdA33f+Tw7KPczMIbEts
CTuHDmvH7kcVdnCKSicncsyv6H+tdAixv+eobivWS8gaI6XdoKUZ311vUhVGBidaj7CS2C3M80pm
OmCrWjxNhLdEk43V6XvCqWMWKhZiYEA4Fq44SLxFZIDRIWq/4fz+p6f2289ippLV/z5/4Y8CMq2E
uPoff/wjYqRf/+7sW/zDH9bzTTTeQIAfbz9r0E1/HUTPf/P/9YO/8Gj/bB6PLRXn4d+fxx/esqz9
y7++Zerf/nJ8q6NM/sFRidd3/vxfI3n3B4HPlk19Y0DZtAw+8mskj6XSZxYuPN3lf+6cUPrXkbzz
w7BgJAqP8TsEtHla/8tSaZk/TA8/MaN8G7u0ywz9r6/Er1nUP1J02e4fTdcE5dgsjnQM+n8cSuVm
GxotQ+RtFrBB1CDyY8jT7QlPnOyulJ1A+fYDsBkLQ+sjeDq1nazZvpfHceiCPdCPcgM/27ly8yFa
QfH2VmnUDruU7d5aawLmU0oLDZx7Dtl8FIps5gM8jWXRjPsMM8wiZa31NMzVjkeTuq5LPdqxGSyv
jdZMnkIS/xA6FWge53qpb9Pk6Ie+v8+nniJkrquyPKoOjFPsBVsH+QbLDW8aqBe5Cr7Lsnqu0MRc
qyVz1daNHVLz71Kun6u64rvA83C+n6Y2RG6CkKT5DL+LQaaS5n0zV4jNWIKrLcsO6FqFpUSZg7YJ
RBFsR8pLcKIQ3AQRMEBlkE0XMzJ5GZjg5Iu5Ok2dhGyruWIt406thjqfXliak4w4NdbOmGvcxIvG
+zZBFHiswxrVsf9bVdxm+rwvzJxzDptsEZkp3kUgHUcHZee7jX6HsYfSVgI63DL+rsHnaryI8+SJ
OYd6CqXf7vS5avdoCbyl7uCUlXN1P822NzKHZfXRQts5WC1i8i1lcKKDQkHw3GsdAgSTDMh7Tcu8
4TzZHsuSqU39LwaysInQ3c01i1YdXVSyb5qSicMJ3flLLWuatdRTfUWECF9FqgjETmtVzRq5jAaC
2zJJ/HSN1ZS6BMbMfxMDPcL4ULbmLWPo7Kvs+S2szMpSjxhfucaED6fngeEglOKsg/wOdR2LJvEc
GbtkOxHh9Ux63ftZGV0ck9LSUNVMuldFD45Lqwq0J200XgJIfRyDSKVsvqR5qfgW3wjQRRXkaOj6
8rEkXMzTmoF6CjVygPDNBG2ZVfuIfJ1NFhnB16hcvqca5RpSICPyGavzVonWQV+at55bB2+cx6TI
sz3lP2T7MNeTKLkjf/QpxEsjPwWyqVc6Q7GbwjRTxhO+MuSGeLZ4aSLzuZV2Sl5dqQBlBIViBSRR
OjiFQeecVlXDVdVPdBW+SNt2FwOt/snsaHyb6F8fLP5ZZ1VohvWlMxfgkQ4d6HCQP+p+4VkCnrEl
a+JGFDlDHfPwXFirlIoFfFhqkugwdI7NaiQDUGVqnrAvhDcqueJiDvP1GA9wqcuohbyEuse5wwCQ
9AtLaRm9Ohlf5jo2SsF9PbT6Zz+WxV5rpDGT06cQT16Yg2TR9MA5GABlaoZIPukzw/Bh4j/cE/Xo
fNhg2neAcJrbIXSYj7dhspqM0r7wojBVMYQaHgctDt+4TeUeU2eyV2PQMNdqyatJXQhTHuEi7KTq
jJ91gko+lz/8ngbkXUfKWG5WAhhltxhdv1XrnlnszL1nRG0qJI+d8j8rk8nUamg0tvCejN5hwffv
YRB3G7cMxiuC9PqLzGvt0IxOdoEPh7QgrLTZ82KM9qtWjRZdvGdl+SLDYnGCE6ajISvCV75Itosj
nZwPeHbL3vYJG5rj73LlniayZLBRVQ5iU5GemtFyXoUdejEXO3MUkj3YjTWzh095nD0oPZIORr2B
uKqjCNwjxioOSO5UuhJUDHLVeGZwimNv2I2uFOuoYk66xtgWnBziZlhRaXpJAVd5tZrFb/ob+yb/
wbVaUEp17d+C2bwZCXRahsMAcMQW+YbIphF2kdOqe9fp/GOmCCAMbVt+FGZkI1SaoJ93rb7F05ju
u9iSawdqPaP3ItmZUnNWqRP12GXKfsWjXq2JQbEW+YhsrmzwnbjhYL+kYQ2DSkZ2tXVYySH5S+WV
xrl3zqCIXPs1zLaINJuVXlT1rcM5fynDLljlUCyGZdcmZFT2kX0heym5N2ot+jTwcLFQksR4tsL0
j1M2xDvdByHc5k6/ze1QOzC3QTfRm3lBK8gudqX6LD6HTtYna8Pqp/dQ8+tdnGTyNqN23aOHuvGn
AnsKpyW6WSRW5gv3tn+EvUW/7jijezPpLAlxPcPfK309O4imHvNrNtsD45Ui+orjJLyl7wruTYVc
mKeDOU3Yg2jT6sq+MtC9vPVZ5j7RfmD/0SexRAGd7WwbXS4UAUPDJ8guZiG73rvJBssj/29yQZVP
/amrNBsVcOQxPI6N4ADvB22ZHvYIi6TckF9q7bEYh8iZjabZeFqc3joE8hBfHLBYnlRUfTL+kuRU
ed30piH2Y+OJZNjE5184xJENwwlrYbgMxwC1HXKaE4767sWsw3jDlgc9D7fYtvOzYj7jRUT+XADi
DcxDzvLWUleTcDErTH5pflokaKAw4fhFZ8egXxeEnZatqD+CSUBim3Jz0/WldpjE1H5mzCw3hVF3
dxWhhgTx2A7cK4aWB1jsyZsp2XnSS5nhdYgjk2l7WslN6YDCCivXIjzbtrkNlNcevd4wjl3GntDX
9Ba/Syy3o11w0ml8zl4aIau2MhguMZEZW6JR40PtipJXsykfgj6vliSbmMswH4NdMhT1be9UrE9F
4N3XsT+nPPZMsjICgUmjkEeBhY+Ffo4ZXiO+bAKzgGfT9U4+9+r7d236P12gn+VHVdTFV/PHkvz/
zwrdtWdwzN+v0I+f1VsKfujzu2vY//w//2L89il/c1lYPvp6tCgYhF1vpnP/KsrtHyBGhOAIcciq
+LZS/CrKDfOHpwu0MzZ3pAfmhEr+V1EufiDa1FnuGsC8/ZmS8t8pyk13hlP9nnPiAceBsaKDB8fz
Ybl/Ks79Ft5Dkhh4BoiYcoOCS6UtWGAtmZe2pzxO8WTrrXl0OVF3egblisI5AaKe+YpuX2ue7N7W
6YyZDj27iq5vqet5sU9n8ypFQyI8bvAm3zDOFtd61Lhi37luL0+VUxYf9uS0xzpnoHloaSTJ9Sxk
221CwjyIV2aYlmCjwiS9qKUCvxnjVVlFWRr+RMbgkKTeCddaCSuu+kXDNrvEzToMOTC3xHtAyB0n
a9Tsw8mZ9OA41WXVomfQ3ady6s2nwAOMWEdaf406gDVwN2GKdnM9PHSGcPHqJhHoBcoe/2AaeCpr
8rGhimg6e7GO0J3uYFL4kWdG/8BNMkbmnZ738IsTAAEpChryJhZkS6IG7h3dy2Etg+28jjwU9Wsn
AlY2p+Qwvq5Z2fXXbodd6mS6dlMjsGTUsQR7giyXqdsAuc8LK30p44xECLy4J7PVJJsBOVanYox1
B9UOC/elC3KHkKc+Hu/6iR0xQ38TMmzTDGnDAKthI9tz7KAU6VXykTBXUxRCLbG5Y53wD9jMt591
WcfXiRb4O34z9r0u4g4SApVIUIz+hWBtBM/Sj6thXdd68WBaFmfKFGdDsHUJIz2oaiD3lRpuwN6S
eDdJqbsf+iC4nFuGBUitgCqT2RsKJvN97Kbr1qnNp7KV7ZMIHZsVN5JggfsGgf4SqGp5jLMWbU2U
QVD4v9Sd2W7cSNptX+U8wGGD83CbyRykTM2yLOmGkCWb8xBBMhjk059F94CyqtuFBn4c4L8qoKps
pTKZEd+w99pFKBi+dwPN4oWrh2xeoQEafQM/IfYGU9W7cXSce2S77dFLRX7X1+7QbhSojXfLzNhR
icyegy1123TNej+j23MqwoktnyylDP1tsnhoNhIVad6CZIkuXGUUcyy83E5itvFr5pLlv4qAnmZT
+6ZDXCfxdEQjk2jo7icWyd5x1gaItnlkqhiT+7aoeFTo3QWqMNKngJJc9kA1yphiuAVSG6IY3Zid
HH/41qLdmL+CZK/c7ChIkOGiR7FDMe6hEYXcdU6T3NVKMzjv5nLal5pfbEN8LD4DHN4dmk4br6Oo
/PJjzDGJX4S1YW6bxBtl7FcERyDucrMQB6Ez1A9RlIdxH4wMCzeqqm3D3vSuLJ66Jbom45cGZZQT
2BGKje5k2iLicfSP1Yxa7mj2ZvHU2JN5AOq87ILcXc5p1FenOVP2Xmg7Edu8nILpagZCZN1ZMm+f
5MQeB/f50fIUtNXIYfFy6ZLW85BmJF4T46QOsIn7ha0+T4rAf31ljmGO9psghokfgPZkYyZG3n1z
8BucbcUWdIuWHuAB4ejl/MQ0BMWqmGdFfqIza7/cUyfS0YAxLlhJ1kWZf0sMkd1PY+N/K6tJsPHh
js0uJgbwy01eVta8tfjKjPvI61hPT2GqcS8gn3DCC5+14XLjpOO8XBngpp+GeQiIMHPAP+1H7c4Y
9r3MHtHvDjPH/Cbps9BYxWps2BhuvLWasLo+LOhgKf5nGBQm36Rt542Myj2P33bzf70ums2xG9GJ
1LojrE8NB6vDqvL/997+Zc72v2n8hjqVUdh/vtzPb2WfvX1M3793v9zwf/9z/7jh1ziCtc4OfIec
AhRI/7rhbTSyFiM34kcwmYerZOmfN7zFDQ+YDp8kneMacvHHG97/aX5kHIc7Dm3Mf3PDf5KE+ZET
sSkKAtOCpxZSOFBK/FESRvRekkkS8mJ/IqK6hgE40eyltXwlnIYOMjDxW610TmIakzBdNVLmE5o/
89z26tmZipexkwjJl1XBqsbjIIZb8qUY/fvW6o0jKFBg8N1Kr3oeQvoQUsCf4Wjx/Z4vYYMy0hj9
DsUgcV9TcfOHT+PfCN5+Vfn+/OVCB7Gb6ZBRyqDy0y9HUm82LDPIcV0XMVBFvHw/Gtndmv5fRcl8
/kkun6TnE7QNeo7pakQcxh/fxtSQVqBQbcUkKRPYCNcXdMw8kHLdpfHvfylnVen9sSZDE0cLxV6I
25p/2Osg9Q8qPprnqTboPOLGV+9BAoM6qJuvRHBzdkUWsOs23Va+gioj/C4O1NhvTZ/sL8RtGV6X
aTiyajq4OewHNBRNU18Znr3EniefU2M6tX7wZmexy5mGLrj9JnU9bzuHyatuxHl2UxoZVMpE6Jm0
9zAZHBQjWzLR9I4UwinOkvnNV8uLEPmrIwLGICWglN+/B+us+vN7ALsR7p7vexSo9ic1X+IFmZod
EhfbMDxk7NysWkM1zgaAHKzZ2+eu9ukQFTJKVtWrZcdV9QeY4e+/fyE/f9CvH0aw0mUdnNIuID/C
Rn79MDLydOuUVQhRs0yohWD6YQTPYdqveIzqHcjTyS0YH1TVSY6Qd7z5TiVFcGBMVW3qyL4DmvWw
ahvwgh4Yr7wtRfpaz4BCKu/+L17sn6p5CIgcQghtVls3h8uvL7YpQnbx+BR3pkmeoMf6LDCnR1eZ
D8LwrxjDPvbkahaRf1xw9+fCfMLsSsyBi4qc2bpckB0CrQ3Yem0X0LmZj/a3AwHx+9f5p083wEEO
B4plLF8lTASfdKpUZYGf54ERE6b8APkIyHJdT0jX9M20NgRJj868IHbJ9fGOwfd5VWJ5mGu5GynP
fv9i1vfkjx/wp9fyOSEMRZJVVQEgjgRisCbYvoQ9AZMDL7F96P/yx/08kz7/PLz1yHT5pKBffnqg
Ame1zCF8jp2B8heRNMuzQcaw2Hkq3AfyHm0YdXUbq9bItqIO8ls/my9osl6DmSVxAV5kl041gY9R
85yM4DDIZamL/pEQ3PKErJiMMYw3SPzyu4gKOqaE2RjOcmYY5B4LsmQ3HXB6fFc2uKfW2gEmOtHB
MgNqPMJLXHGuhJHuE2YYmy7q++MAG2dH0sTCRho8pS1TZzc4y+3vP4hfj1h2QzwUvs2iibvKCrA5
/PrwQt+p+nbgg2CLsVvcdF9017oI4QBf/f4H2X/+mrAIY9/FgIgfBGX015/kLRg8qIWznVMEeDTL
741nIR6AJAj9BFhu1GdfCz09uILY33G+d2b7JQnrdbKWvMoE76zXfwCk3zTmGiLI/maQV7qtDr9/
ne6fH81fX+en5twEcZ/aHcwwArHPszXtEcvgVS7q54QLGkiLwuPXqRydSUZssm6upO5mFD/iOQW+
jY5zIUTH7aFCEptzZNKkrogdrOPCnsoju+DkkArfvVyYaz9hOW23nRiuVUuz4XYjiMUBg7Zhd9hU
gO1vfVOxRQHSj2vCBfE/ES4IQqje4ZAZGWq2X/VQvCVZhzWmm+bX2RufCFkFG0Pl8KNmB8BUPCWb
dRTpCXjBsidD4+n379mfHyKqHcQ3lFZsLblBfv1oyyGi3HCaKE69BIV/ySGotrlDQl5n73//o34G
p/36Tf5ZcwTOOr9Bcf/pntaFKcbeaaNY2YtzOY7LV2wKzqmTWFsRZBMuIjCEN/NVn/5IAxQGLYGO
ZAFwwU5DS1zUbPl8KJ68taL5L17cr8vW9csU4APmW8tGl2/T57KvKhSgRRwJcVFXlzNOS884LeLL
X7wDnyuV1cdFeNbK5LUCJlKf3gFpl+kIKZfQKgS+MM+Y/Ht5GSceZqM8W4cK4/2Udt1bJbwvxTTf
eb2D74oUw8AlVVwsdcc+IG92Qa9v2fBk58oYECQAZv2LguLfvVI/dLkUeSxY0n46XAZG3pX2yHwK
/ZZTJWdJW5BwkzH3Sdn/AG8N9uTWnkJUtb9/k1axxS9PCZ4hm8WsH3jcykx8f30iUesOS5u2pE11
wVMyBRwxjHAjsqkb+x5L+javxV/8SOvf/UzfwkXH8JJ7xvv0uUT1bLpB6WGoEcmBfh4LVt7py455
Y2znlPb1+J5BBBSZ+1bk/pu92PCyjG8DUoptZrTtdaibHwVrTqsNmDo9/v4tcf90AIc2xXREgRvg
+eNb9Ot7og1hofgajBgpTMymARJWsk8Kvi5QBQhmKRd8cDxEk7bRtmWX4+K/9q3UewCmLxLdMsFP
7j2TqB/Alfe1NolXpoEG9H+LU+0A4JyrqkWa1rXvPvctlvt0r1ioXJA7cVg6d7rE/gvoCJnzrEex
L73++1ybj+Psvlg94I252SsiTdwUV5xywPz+/h0I1lv+l6ciBKxvOgFFLt8djNW/vgNNjqAwtLIg
Bg7xaNfeHTuHY9AoA7uOrlAqwwnoveyq02kFRo9/03oN8sqq35GXdT/I6Z4JDZcBea3MV1xITpIL
PoAhg/E6QH0c1xFLWMuR57Rf0WUzh7eAUion31q9MZic3SlmP0LcUdvA9A8flAO7xc6vLLLWygol
NvAYVQCBmEymZsw7Pog17uLRFtdyzGPFC7XMGrSLPuuiOJcVm3lkmG9qGGLDcdJN0UyHYfCvAIsc
BD3ITsNrI5AWDK/bsJzXjti1hmmRdWqhWKs1VMASJpnbb8k8IwzXtNCbde8T/Mu2eg4IyMqH73/x
UfzpkwCvS5Me0Nqt6plPJ8PoN0kTwMyIHXsrlqMXHFV7FEjK239Umv/T65H/TQMU5icULf95gHL1
9pHNb//n37mJ//5H/z5DCe2/MSKh7QXxYTILD/k6/GtLQkbDWi6H9AvW2gv/Y4Ri+3/7uU/hGFkt
scHakv8TBm/9jRvJ5u7jFvw5evlvRiiApz4XYvjJfLJYsS7QmZvOiqT/Y0eew6vWJIP3+9W/6Mam
TLMD/sPshsEf0xJvsL6GRA6h+0TEcc6debIu8dvBHp1yRN2und9IgfiaDmd2P7giCf9ohgjhZpva
UN8bxONPKZfEjD6qDZ9oIG1Gu7Yda8MxN71Z3Qu4Dl8CjzXokI3qpmvMp4URPOdFMz2Cbasf06Vp
yHgOnBsJR/1oM1i+9Em2u5BpPd7Wpa76DVsojGl9NdSAfDNj2Q72DMMQsxLT4aFZToyQJnMrx3C+
i8ZEgSnJ/apl0yHuiT2ul3sVIXa68LOlfuhYmaq4ALn8UFst3BDI1hbzUaSOTPddO1MXdlopsXGI
4f0wjHAE1yMaKDtOzaT1DJMximBt2gEodNwj8o582u7DlS4Z12mkS0XCeBp9tMuivy0WLqKjLSOB
5zBg4p4Wk+Hv8yiSZCARclXfeGHQTJeL4akfZFwN3PMsDF4re7QeWx8AuUPpfme7M763orjIWIex
hTeyzjwA1fK/odJw1YXjIyjciESKlHA430TToomq9JVs4QKnbr5lBF+u4Uvmo9u3+csIf/hjFAZB
S2YfXNOvzQEcJzHgb55Sd+vV3XSieBoODZdJuCkB6hx4V1xrO3hwQiqYWtEGlj5nj0LSlVpDenYq
oy5fFx6Oe+BgBnNvszEvDUS0SIwqVMNLSrRhl8zkr5lOmm+7EXUSjjrAPw7Dfc8t7RV/OwU/sfFQ
3sv3seZpYcRT4sWrW3bleVo8YF9MN9iwS8ja/N5jmPjbwlisDJWFbt/MVifs3kbnR1rV4Vdcvjzk
FuhS5zXrAh/JVaW2bAi+OVzomyhVxrHQXhqjFMgPZrEMWTzUUX7yh/p+3XTrTSOzM1IF724dYLxI
WeVX6USW3A5IdHYQQxC+yxrmFdp8o3pmhzQieLM9zHx+nuqUwtGGMTES+Fn+dLqHZEYSsXXZN4Rn
BiG2zM2MoOMMXAqMbNPc49cwd3lruUxfisHesFB5rFxXvUg3QPDbKZ53ZqJetiW5rwz3CO5C52gm
9fIGFm3Mvo5mm0FGJOCJljsjIXSj2T1NFyZiQtyR44Lnvq1NQl4sO8Q/hE8je+6nXFNfWOnQ7lsg
S/osyDbEFV6uMmzI6k62R/loC8qtySLUJ7cC+KvSf3FgVeHKCdPASA5JPbpfgWsI49pz+0zuwWhl
4x6hl+WhkiIcecv01vHAmevZjAvNB73B3O+VfNfttNHXrgjS8QrbHa4zSxQmYLiI/+s+CyfyE+aA
eeFX6P/koZkBKQF7ImAxlucTjIJtM0cLTxkapiP0leGR8DvvgiTrVDyUfTuHu9wYouL7pOburHAc
8cVmqAgIaLGqJ8kLtbdEsJbfq2mIJBvmRHabroS+QncWwNAhGhEWdx8aLDuhZaGwqZfqh4wKsUW4
PaU71JVlf8GTieqxQ2+5sSLp3kmVN9dN43kfvqEb+8i0NsovR9eT35yokgCAslKs3Bb2pjn/iUNC
218aBK5fhItCCjWJ5e6RoaVHz+wEFW+IlD3wcvhyC0hCgss9oAQbNPxAYjkgg57Q81G0W37FOrby
DvVJmSE/pecumcoWjZxeFOK2K1V6zdcWWBCLTW+ar8fJLi/JqIv0RlLY7TiHUgNxZjQdfWuYrhQJ
uLeI6Fi4h0UW7QvD13eexintZrQHCOYyZFuDh+aF2Ib2IhE22RiIoCDnizk/DcOkMbZL8Ygl1Pla
D/60tyS8lKWJ/IuRbKqBFZ8X1jttmHjdUnpwx7B1sYYHrkhetC0Hcx6jM+x6Y4uxAzg2HixUoG7T
3RhDO76ZyG5ec/rZpz6zygsf0f4eI2tyz22ZhwdhBf1jaxX6mxhy98OOrOlxkvW0V17zEHEs4RET
QdTvMtU+FKOri02/ZN2lgKZgHlBBpEd8k05MSivSHeT++dZzB+Vsye9mdR2S3CU3feW/pBhIRDz2
TX8q/Tn8EeHA2DQ5zSSDEvNYDEP9GgQ12LwWvcN0NNHo7SpFfHGFf+BY16rFXFtM1x7kAnJ/CWsu
9rPFLzyYqfW9gwB5HiGUZlu7wS54nmtn6eJeLu0XUU0Vgc+aeD48AJ17AbpfkZqewQdqkS16iJGG
/NUzDPdOESByVYgyumkkGl2EteE7V7M8QxfoXwrlIRwk/627RICVnmoLJ+NGIHu79xwt7+scBMdm
QN56w2sZXvHRmU+l1fvoMqAY3NsBC8oc0S1gIp+056D47od29QXNfrGbkjofrvn0mhdzMRcmzgMO
YDl4h9Z2MUq13YdCynebYba+pnLRqMia+nm2UHmIyMiJSmpdtBzWKHdl1Cq+b4F2YsvM/TuzW1fM
9RjNd9ZoLN0D1mDj0nZb+WpbDQ9YCrUYaFwr6jDG3aEmzDH98M0Xyn0lpEPdabyBzgXS4PK5ndI0
vZndgcRZs3Cbb+3UD+/EtpDc0esWOUUPIIyQUhNWNo2bCgB5zn3D+VIFlx0udWI4POaj2MCQCG75
29YwGCMIVCzbHJsjjCf8wsng3bkFJhpv6jmZ+XAt5Jx9M+BWhti25U/XuKxSGs8OOuBhXqbhh9dG
9JLEE3KDOdn4w5sGdYFLtjtPvgwuPZbOd2XbwqjvSSbLYq9SxZcKE98hI6zjlGeJeTD9BB+kxCe4
YeEN/IsZM+nhfs9lM/PmkM1SKl6hyviPq+0rApJf98W+m53lTURN4e6Edua3fDaS96HXgYvYQmFc
TUNXZChe56y8tQBRnPjg0UPY/PGGaTFsiQ06kuZGMGW+pzDNYp0DecGVGqYd+7pq4WHF2Xawo6J9
jcqx5vvmNNMeuUJuoRcBQTIgB35p2sFPtwhMmrdy9gAOJ7SKDkL+nUrkKCnwjOREdILlMU72youA
l7RD/LbM2wLv/tchTMU7clSI0U6Lej/PPLrbCHUR6MlZn2XfNY9thPN+I2XrXZMIpnL2hHl/0UC+
cXa2m7a3nPpzLGVASi3FTtttGNKkX+CprefOxDHZ2yBTca9ZOJsTiqZ4Rpde0z7O4jXMC64aoKrL
jayF58YdNrW3YWiJps6KHlC4KMsbB4wxOQZTbZXbjPxIjD0VQvRBWmzie+yjX9JliB4RcZfhlk5g
uc7nzDw2a2RZzMzLfTaBu2QPJejTW+FmToXDwAk/BmrLAWiKOSf7npv5tkln7zKr2sTc5PUQHp3W
MQBmBxmigpT37Gjm8GC8YQBv4lkyIG2nAE4dNpP9wLKVrFI/HZ+yZchhQdvhLbyhNVnIE/1dZQ+e
2psRXj5KErJOqeyVT7CqSv0H5Uf5TUEAFUVeWM43niPKdzQzzr3oOKiPvtNCKkIs6+885RkfnHjF
nvvZ30OaK74Hs+5iSiHvC3qY1tqD8/DvzXHy8SEWpDBHmQPXUtgMSZgIR5eZ3wYvJQrO29qUxrcW
u/qDOWfEENj9UJ8aYqh+RKGZd2fAEm2CX96rP9DvDk/LpIkqWip1glJaIgMPMpMRBzzUZu8Dh53j
vOEUOgpR+0fA1cYXP50rtatA40DG9oZTjTFtSxQVKd8Cr+rOmkdJFodN6JtZ1lMGDp506CVE7NZm
BbPyYA5EgKQs13tCdbszI+MA9Huay93UpPkJlp55YdXjszYHbMRpm8PLmxlakabwmrTm2kz5YBky
JCE5HBHurtS9y1HL7DzMvzgX5ongdA6vjWNkT3ZJtrwrIbjyFCLp6aMfbeAee9+RFzpN0p0Ih2rv
spU7hNAfYPvNyffE6Pob1245/2bczxup6Q7BnRzaGvrERImAXEgr/zolFflWN152IYqu31uz0Ryt
Hu+oSIPxfSqH7o5EJfYXgFcVtUvQPrrcfXs/nPrjVEXpK+VMv22j7D5vOJr7kRc6LwAfJyQ4m0C1
CdwOsCRdJNdI37E/j3bKTQ1ZJ57y6Z3uYWBkiNVvw01cQi+dho9SINnZFVMF77AAVFsIGwZjI/zh
cuIBIat9licpMA66bUmkL1yUtyUUH0tnUFsBcVivU7qxLmsgm8xSXs6GvaCMTZnpAWknvYzd0RXx
H80OmxDxD1AXNxje7H0Ow/RuqM053AqtcZCIcjiDXEb0ZpBNH4eeNG+8xWOfTtT62WmTRx77Ox9s
rNLjE6JmnADkWm1CSHdo30uMbRYwfz5OtY2IBaJxW4rsKoMwWm6LeayeWkcTb5ASf033iYowasQX
sIv6Le9KfUvu2hpiBCX2al784Ojbk3vRJqxyD6bu8c2ZhV5e2JLdlF0vb0r0ZIekX2PnHUkFOGLK
MCtnRMUvky1+Wu8Z7bL61i39VZ1V4tRXBVFWllktHDFO+s2OEhN9t9YI/XW7B8ETAnY2lpMiY20V
v40PZEdxz4XCi9k8jntRpQAEMPsh8F9q+xq1wPQ4BNTmKASxqY9M6F9EAgF2sGy1a8hq32Ad6L+F
TZ7uqyjQJy9Kpock9Qh1DwdzD+KA2w1/2d4xCMoOiaMvYcKmqYqVVIS3U43cMkMMxI6EAGAB7WjV
O2EID0d2OTZARWAHcoVbItvCLgGxMRhO9zrUFE9xZozqB+vbIQAhodHjW0Sh05kMTLQHbpMPaRvQ
W4iV0MdiyZtXnUrGE6NjVwnum6JLb+uiM5+SXLWU32V92xaO/Wpnhn9jF5X10RdroHnpksML89lC
y013s/dh37CBW3T+VAo9eZidQXo9dF3fEOGSinDXwSgnc6gSy7PKOg/6gVAXBLDb9AvaaW4tJqz+
cR2QvKWeYe1UuaAfc5X2iYZywX1sh2YwHqx+xtAyKXfL/dI9ZFUwvNkAVwi4seqj7eWvsmizk9P3
Q7OrVv+KOTFnoa+rrBhBr/dINN+AkhMz1FWqZ4vRKokzcmf39hIcYH85xt7B4wIgZaqb8KkQuW0e
Om5NZ9Mn1Voypudp6vb5RLjxhg3buCBmM5d+U6jI/NGRlXYd4vL+auqaKI0MIjNU8CEonvMml5dM
cBokb0QAkVjBbPvSCAqnfiSOa3lAEKig5mjc/6eWZD4dL9mMH2Aypi1x3XzJneAFp1Ud7dhTWrg8
GKlzIuUmMCLLW65oOuUrIeBLC7EDAWWZ4kynNTMesZ2EZ3IO+y0lJPKGkcBCvnK5vObI992TGOvi
xkoc970qxvArkxm8idxHVNKdd2jKqrv2og5UoEyhEeVIRM9arCDOKKs+CqMzkqOABINvICNGBLuA
o5ntRDWJYJZkYIBNyYZD5HcTPCSZAwxi49CvbeGYMo+oRI/XTHeDG3OujxNj/3Rly/Yt7jzsjahk
c1fzde+LbAZsYNa4+Ho6sQI2DrHGBxUoM5alNwRbV3bjs5OItVRmS8Kd01fVY8k40NsmTCxvGtoX
/m2NC32b1TyYG+7p0r8UXu2+pQbxDBIksd6WhKJR4XBFzewLuw2CW305Rd0qj7S6r35thc8LlmGN
/SgzbtsQMue2x4jcA67tZ2QLJEru82qUF1Ti1V4tHVLxZB572jsIcgh4igHvF0FY6asr5u5A4LF/
XSWEOdJ04bHYD8EYAL0LvXef+YfBphpNg+9W5NPl1DzPRY9RBfw1MeWF8J3bmiXLsarR9/IEO9V9
Y8Daw/4p5DaT9B441FMwxpb0mzOxXinKVkHGWFzDk+l2qm4hdyUE56iUnWxSd4hjZDLuxtoqDqUK
MG0kZEm+IFknpy6Zw/5pnAN06v6oI37rwF/gMJQDG6kgmhmgqZIqeawy6zEMwkzt3CH0qRPK1Dn5
vRrrDTr44s1GAs7cIteGtZ9Ti/zOWrmQwqOAJXJBWI2DHqTw0T6kOvAs+BE6fWZl1B/qxvYvGYgE
+R4vXXNgWlt9NKK2rxosfwVarJ+a5D6Q/k0+psOTiKCniMmEtz3Oic+vyabJ35YGSEwesdGCNcGj
grcsWcgAlKFAbK7S6BErMt28tjl+Zt8qviXzhDJ9tG1hnzkn8orFqdXxgJZebV2EWsjmkIaRcqAw
q3FhraeDd4ng+Evl27BqyxzSy6a0Gelt8iEA85r5zB7pBYwS1K5EWNKCgkjfiBgLTqyzmJWiMg+v
0U5hago4PzmwixQLWc35v8QlNioz9hqcSduqsRjYwFwSJpoi1V2z9tYTQ9pSv/hJgaYkEOML3yRp
n6WJ7Sbt0n48d6atPOrlgPWP4fTpR2LlRbbX9prIBDjUEFuuJc4V3eiq/lI4CrFE1C4YksZB+NuJ
a9LdGCTdHFwfX51h93jhVWfO57kBxbB2kUa6RRAv0t1StVWxs3E43tkAb7pDSGUkaZmiPhYoGUdI
Fm5yNWkc0ls5FMtOmAVS/QntLwequWK0OVUdxYpP77H/meN5njyUPCvzZ9lWc8ccLZcmw6Q+8DkH
liwKr/sFhhO2hbKmBfNZ5iUFaWqb0KmkDyecwCa2bynDornlBZMH2SdXPTa1ZF/V1g9VGuG9ZIXL
5LHwQeob5MbHJoCXkq9xBQ/TqDrZ7HqOTcItBmHcpbQa4ZOdY81LYdjRwBSA8cPJUsaett7Nf7hI
xV8xYmI9LHI7v6808bO8x56IsynI78sqnI8QZDO1z/ATP3X52J2WWaVPZO9QSTdhV9xWonruDCfZ
tXkQEI/IJbJLVihWKgbMeaNOmjcWOsZHm3fzIzG3oxHju2bXH3DszoQSssHZ6JC8KXpIHR5xYTDL
LlX0TjEnv5lFWH9ZTC3zLVbufkezll3idI1CQKXrb4Q10iFc1IdVnVXud8sQCHSS2dlrBgonRjou
jjVvvO3N2R5jo24dPG7BtBxR46b3g5i6e9g7fAMKPJUxOVL2gxQ9Z/awQKkh8MPSp0yM3X5hvpLu
lylQ2bY2eiZRVkfi0D5xRyc/hjy+pGi1ymFuCRWFuECL0KP9slhqOXer+vjYa0ACl0wzQxdbi21d
DHP2kAnXx3pozW9mku8cw4VPaqK0DMVSTe8sZASdgLCfqcm0x91WZP4DEC6GFm0Z4qyTfvoowQc8
Uoumy9aMssDYmqyiDMo2Ib76gdn+iGwqZzYvzAG2YW/W3+2esNEtlh2i9nzNsB/bh4AOTeygW3PQ
U1FKvz78XDr+T29e/6Mx7X+rwB2v2Kr8+c/72ZuPHIH7H7Xt//gj/9jLBiQBsXsFQmb+U8H+971s
aP2N2F/T9SzTpVn/yX/+52LW/puHzoXta2BCgUY2/a/FrBX8jR2uhSI+siB1Ot5/pW1HKPFpd0/Q
BNAEB4cN4REY6exPe1nli9BtocdCeMHt0dZQf2iPDfMqC2RG/gDKyJH0xl0EAbfe2cQcni2/qfaI
gcSpLAqLiBaTCGDl5BEcvg7yrW1Tg2xClDryYDcewj4rhxAUce7tUsaGFj6qSV5y3YrnJfcq5BBt
dZE7VXasy0Iex1rBuVpzzmham5vcDdxhI9JBRbHnuJQONXcgvIDZpeqzXSmbCzus3FOOihljTef2
HGOOcUXORClYVSDJQUasje9JPwLZ5RyNvuWRZO9lEuZGjGZ+SULNOpstl/Yceo7/FcYhwb1MSpgY
lB1fQzI7pAJzAMeU8PKmeCqG6mVazPwql/ljIrF3e2mtCHbx5ZvvL9nJtXHGEMPjP/iLW12ZeWEf
tDJWGB3p2PncZBdqNgz6FRNPr6z2adssu4i3bkcgWMaVJJMNS7rpXjZ09mUUXoWtrk52OuQIVkH6
pJ23Gf02v6eXLC4aq6t2hDHMr3pp/XOGYw/ygmk03Gh+CU6jwAhwWbbwaLa96TBp7scu05u2giln
rKwfWjqDeJ+qsiymuXriBq+zgFSRdDFv/Rksd6SqKrqgT7V7+uwVhcaUkEFmbfdvbZBN4mJipXDy
U1zQGxPjxA2zK3q/WoQK/KaEhnGaUAvTTcI35N4PyLrDtpxGt71Kcf77Q+CG+4Zs78te46mGBEUm
opmEIsdeVuOBRoyJAgu8K7Oa3r7O8ZW9Gmq090k/NYeGVnP9lRTrftCHXwho93beEOpz2dfqZrCC
io8S49S8cXUIBcCe2L2HFqOsTQ2I+uvoTf5T21kSmtEkrbuIFJwb30YaH3syaY+oA6pjHbkThoyR
Qdhg4gHG1lbc9RAduQOyVHAlzzMdH7+S2o+V1TLIqtZpg+/n9xkmsSM+J/PoU5ruqehqCvxyVcx0
QXvFomVAivUAKg8jyaTweGdP7QQqty1ndT0OvMcWO4sXqqrx1mulYl6GazOUzc2grWtnnq24HPWC
Z7Baxz4GbxlIja1kRXQVVexODhX4A77Vs2b0JSUWFioteCgdCZfLbsSWuGyNTrMdxeb4PSiSF9oC
eab9bK4mEWlSuNj+bwoKwuOIMxD7pIYytfREinPlJjdFj9+fLU/SnMYcmO7eniyCJ6WZB3dNXvVP
FuESA9OdKrjqI0s+a9tt2ArKjpIooLY+eV0y6osppMpnlJ36+c5UTji/uiYf0gPSgCnuvab9qMAu
MWK3hO93JHerOaKP5Dq0vhoptoOLrFhr/yJVEBZbxy3Nd/iPSXRuWqZxUCW4/IegLSN20AH5JWSR
5c7WtNT8BTOkFXvjQOSGrYl+zVpCS/GZlaRl4E+jRxs5pjcc0Wa5C7yx+prnejqMEfXslsP+aRTR
dLacob8meaf5UkmPZEjUCEwowkqbHwGk6UMP4+IKeAXOusxI9mooCPzEBOjctJaevzV9Yr1UEpFY
IAfvqPkWccJ2KbOAoXuccptRRGUuHuT3yhXtR6qG9m5x/eR7YfTzsaQX+pCTZsZkm/zFVoI1Htzw
4uqDTh2vf8wNzJD4Q/swRRQDi+F+7kWgEJOSw7FH07W4Fykrn3igQpl2OQks/jGxNarYekRAf9XU
QWdf1HRM9c6z8+n/sXcmS3IbW7b9lbKaQ4bO0Qxq8KLvMrLvOIFlMpPoG0fv+Pq3QPJKZEqXqjuo
QZVdMxllJiozAhGA+/Fz9l67WxhpON0xpJzVIhEpAaSJOHaETNGmWDZFEfZUMX56MTJ8YnsBFFoZ
EUOrqUPua1ZBuVUcD6iFZpJaFl5mTZ6dag83qUbUDmJqm2aCxcazyIemOoAvpI3S+c6wVeOYX4Rp
Pdwzhw7pQ/sQASbbrD51NZcDUY5HYtEMwJNXbietY4igZtrgv5kNolnlJrs0LIZ8SRSn+qzbEk9K
nyr/Few4s5EqIVhoUbkwGNDg6IW/5UCLAk/PFYkbANRsgj1BX980rtuYa2iEbnQMQHzD5Oy6kD4n
C3x86UJX5XwHUH2fIKPcD5VpDxeZXQ47VFM8BY2WH0v4GZzBfQ/bAVjUZcLUiTNG1N64Y9dumqzW
X2Q73dg9eGQmTkF3q48pJwBaEWgDWuKmYe/AWmsW5pQ6L3Wo9GwF5t15rDvR+UvbqZJwx6m7j9ad
dCZiZoH7TKzZSbvU1aDecV3r94IJ+23L+T9dlb1qbx1L94+SZ3gxaqZ9YzTSfiTALD+yYNuHBsrg
QiR1CClPXUx+Zo/LzgGq74mU2e10MFseWPq/2fSWZyVBOZ01p/eYU+PM06284RTPVxkuGE/UagMB
TSu2dmZbXyicVLepNC9X11aoR/ciItqM3657x9TInXBLBI91n4wJ6x2WgJbpeDkrQJlatZea29Gq
1HrTf6wyP98ZDAcB3sOUtHY0DvsA5W5AGosTUa8t4AfB+GvShi86thEPXTbgddu11zcZfdtUv6wT
HKmoAjoajXWvCmoInwkP8o/uWRKve9mZpFqXZGADrwhFc9sAe3uBZSDMpegaFxd3SNNf10ln5+Rj
Srk0CXa65KrlIYgIQto5lY4ugZz25r3JCChf5eEQYoFFy+fuStWiNqk7y42WOGGhGUZ6xILtTIZG
t67Nhwt31KtpyViUsXcojOrNQFCcQpDsy0MTSata2oP87CHc3lUSEmJn9xMKihEUKYo2TTRLdqZp
XYFpnemwevgsMB6chJ70j1qc0ejQVZNc9EZ57w1SmIiw4tBYk3kpjnndJOsk75OOsVDxptvkO4gh
qJ+moiz3tUz5zvvO6c5jWuEjBvbRMvWmdZl3CT2MzGHEtiEXSl4lMcI1KKIt+uuMvCMav5IuRNyl
dUfzBD0qVARzDjHMGYJCYUjCtQaB56jZXnjfAT96h04HwDDoh6xcl105Gct4Krj18KTJ1dTWlWRV
pqdMyDaHOdewHH8VmEm+7LsueOjpyeBIjupt7czKJ5rrQLNwaU8q2lKQ7lI9dZoFOuJiYytcmgw7
nZbAMIxjlsfcioawvUbVxhIY52nzOMR+urbDdlyy77OepNyVh9Czgl0bZtWpJJLxjtkAQV/00lZg
6kZirJwsWza1Ll9D1GMobKLI+jzmRAMHZOCl5fSM2/S9jwNyfCF8Ybg3e9LyFJ015iye+DoyZhIW
IGqniRRBAgW1oCC/1fqTYbMbPUay1PLFNFriyuoBTEwADNAb1eR37cK2ysgSZs5M0phfpK9VKHAS
ovPB0G2XdOQcL9IYIZd+tavZLpYte8B+hJJ6U/rx8BC0CLnEkJnDtkmoMrWoOPYmQ9uFbOnN7rQm
91D3FAW6DnLlhjumX8ythHRKADFp/oq/sH4y0WiLVU475b22NbR66MP53aNXX7MC6eay060K1UFa
Nld6NfgnWzdQCkGv869Ajta3mKYgzgQOjWnGrIX85MRuDBqsSsDiUqCpZ4928ucudHk63JYhy5EH
j8IwLqLyxXe65g48nnXC62de5aPR3HuWR8vKqjp0TFboKPZZBtTLPtb8LdPGccfdM6Cuj/TuzSba
K96VU+wf0fSTfaKXLr0/uBseHXBlMQlPGrIDzJnjmmU5SF+tccMnHM4OLJyBmLesy+ZJRmm1gEwL
zXiB7d0dDGcISWHN59AFby7Beki+SyKzzJriwMKGR00IE9VXzYn2JWNHidpMW0xmoPvbqLDzdxaJ
5CUZBvci8/TEQtAvizWfGbPZ3osBNCGCwGEPdDtYGUH50DhJf+RhJc6TQcOyryzjYEA8pyWW2ozT
u2HNqgrj1IVpSHSQH9iIeGZdUDip8D4JM/8t9Cse7Ro+yevYieRUV8I3F25M8Comsdp4BYkBhE+H
0htrqYmsg3PjgKQKr9R4rAMYdHJKkzUcg+zSSqbiqnSdxMRaSigC9AQWlqqE+YRbaylYJF/8TIdS
63XiE1iS6ZXMZwyAlafCGauQvFZmSXTdmIW3dK7TJzPI9VvEX5z/XPaQM7j7YNii02mYSLhmmy55
sMgeIw0SxFdc12DEQ7Ee86FFB6jtCD9Vy6K4RYySzaHuE2pgXBzL0q4sOBZosY8qLLIcxHabIQuz
ot04UVys4OJP0ZI5Q/TmWBXFImLKtRRuvkUEN4UbAUnxGDJCunKMIAL2O2h3iCeyW9YLeQotLoPK
CDNen0ZkwQ5suIrG3505QFjhCw04fj27Cavt6NvhrSyn+x/aH1ffHBj/UXRM8eKibf7rP2cl94++
DGz8On0ERLN4qIhQ+eAfq4QY3CwHVgmQA9yp5+KrHktHOwJZSyfw5kHx9utX/JO2HIcWRjUwPzpW
KmcGcP6oLacPK3OraqctSaDJNbC99mxHM7OwMNxDjFN0a8zcy1+/6EeD0HyZljXbT9DQm4b1wZRk
xkY5BW46bgmMz07UNe0V4mQ8SXoS3VVTTa6RUiS3DIP8Zrf4dyvub1CvJnQI2lf/vBV31b1hunqv
a/VTO+7bj/1uk5gzbubGm2Dlhxzxu02C0DUOa7TdvtOk+Jvv7TgDLKxtYohEEuz4nmnTJPvukzD0
32ZTBT1CixE6LeB/ifA636g/PTqs/Hg4dLakeQzrfbin/mCVwIR8DuDvNx4lQhh2jGdgBi1SOcO4
ffdUFdbnHz6p/85T++GlPxhlzcQgtlpv5Jq4b0qriNlqlEy7Kg1eB8k489evZs5X8uOVzoZHA3SX
JeAq2Kb5wb6WBH2CLx0cfp8QkBDKoF36NIdWo2emG9VUT3qYJFu+abnOso5sWrcHN1QRvds73RPc
OQQW0zzMSK8QF1+IZFxaXSbQoQaPck4yT5HSLuIyORrAqde/fvfASf709jHHEjYCZEKY3FAfVhyz
zhkPYUBYi7TFdGZZCVkRNPHYWu25rpoEMjwFcZ/+2BWEsPjWDsSlOc6zNVLEmH3Jp3Sic4Fm7Vmz
i1Nk2VvaAK+hyzQNLdUeSAg16sD/a+ZwcIoZrRcOBO2VEeMqT8l9KE39Tit0qHlBVu8wNayY7yCo
uFalvkwIHehFdGOLZBeq4ZUZ4yIdojUD1NUY9O0yjNNrWLM3VaZwab+pmVuLaP7TGI/T1lXQXqmb
3Yuy9inJDSKrfa/r9mbkEHvXzEk7HhczQlO3a8PampkZ3jmpfs30mA6izytbss9OZFyrlyRvSbP0
E7oOhDkf0YSMCxtJk0sEmV+vbKOLL1XtglIBIbTT3ZRdzuU4RoSbf7DB6J48j53D9pPmaugDGzZf
w7i1Kb1Plm66gPzi8tKDZkp5Ovef6bMhwwr8tRgi87USU/9OCoh+6I3jYEbDedAn5nm61zSbxErL
jXDM6VB0vITuTFC3CmOjFW71FsfJWxyWzp5kbh8JDdMp2zGutaYiDVZFhyDNnkEkHiQMzrCH0+Ly
1YhG1UjG+IEqCTjE50GyYjuUFxzA1mNX3rkZ3/evb0hz7tL/+DhRatBGcSwwOZSD7kfeiR+WhmQi
Z6y7LCswp5DyUixxouPwYPBV0akQ1h2pzONpijrtUxSIucM7D6qDWNLydq17shSW09yyG7rOex8L
T91aqZ5tiU1ulo7f6DfI9dNHwOwdh8tA//L1Ev69qf3tpkYY7Q/f9kxI/05CnBHs//WfV12RvLz+
vKF9/ZHv7CTnN2ofNi4CPD3DYYTz+4ZmQUdkR4KZyIAECBJL+vcNDS65MEAa+Rir2dLm2+Ufvj+f
XZDajR+kngIkYf4rvj/GWB9uTPZTB2//HHEq+GeGNP1Yms2qcgehZ7Htur7Z1UbavRSxQ0QjJ94r
LFrNcZC6WmWMTpG1ehF4jCLc1yPRKzALSSqna/rgFUq8+TVRidJ2tY3LQI0JQDIetbSI4Fxo+J2F
CA52zqAnHKcXp7PRoMUrqzPVwhnzI1HXNtg+SIpuibSq9mMa5RwM6Hk8mKX9xhyYZGBidNKmkluT
4Ch6jDpeHlmx96Kaiel9usZ9JmIo0RLowoHWaHFRpWq6pMrMP3cpi+7sYX9VMQc4Xm+4BD2mbUxb
w7VYIYh8AJpMbgbJWUsbqN2q9oP0k8g7wHkTrxqgNkTdwan5rdetnuSNMny0wUDvtaK0Voz2+pUs
8mvo3SV68qg9JIbKOeB442WnwfgpIzEiOGtoHc+Z7N1VhEBgp6VOcSzDobtReSMA7BXEjZHHZt4r
mpphPY63cWKF5yayGaZBRtpquXtFQ76/b309fJdZXD/FzmBf54zLyIby/KvYk9ZyrGFd504Q38IB
MAHUqgcy6eVVJGKDpUOKfcdnfWzzICYf2iseBgaFtND1OVsoZJwTpssaEOEL2Lj4HEUejUIZA49a
lIPb37La52e3it4DG7ntFJM92HSOfHLQ89IKVtVnZ4LunShvWrn++BiZ1S6NBBAJM13HlWFc9yDS
17GXpFdkOvpPtjNWJ0NV9tHKazSI3ZS9MREgSiStOb+jEhNnhQXuXEzVvEWD3flciU4i5COEpRk5
TaVRPRwI8QqItS/kjpUciaHh4SQqNPNCKvc9qI+G+UTKn76GJObf0swtD5lomtWERxrqetJV6ylU
hKHkWlWQ3WqQjIGCJD370QRaTJvUvTllBoozBp2hXcpHIH7qnCk/IE+s10/KlP0qpFW4xBQ3rAjD
jumU4+W9yAc0QOgYqmanRwECqKJvka04XwCTeOSIoaiWpvQ3aExGAPrmuG/ZZc6cdO5xZcqVjxZu
A1TI27CHuXc+vSnGwnn24kQaGI4mRqUuCCmh4UyrL6lpfMlJoZMoNGjdqiuXmtIl3e5SX9tTTBlJ
Es1F7pRqZ8rO3WZ455DEupfFWG9zq0Dx5U3VReAF9kok3lK0zmKWym+nsF9UuaStFiwV/dXlYJav
IlJbmlXxke6Th45UT6/pZ8c0hZGzpTTwbCO1Nw46ta1Jeh4cCt17TuNR9XQKi/7aiOVw4xTVs+3k
r8UUrsXUnMBzfk76wrmaYBzsKm1OJTXygMVn/o0EIlrLwRgAiU43Q2PfeEZM3zer2xVFproNfUCm
1oCyjpEBQqcYFb4oz3U8jWvahcXS6BztpiQpiQy5gTkmENRtnTo6UwD67KUqjCNj1PZQNpa97trK
fW8hjmyc0rEuaO/yMFFGrwM6KLfkSPOpjjaGQOWPy6bvEZeQTgqHPivWnqFmAt1UjY8hiXB7y03g
baVUOBTi5WF0tXgW5jTbvkzUHhQ0qhmDOm7fTOG0DbpguvLCSWzofTWLwAqRiAZqXMFIB8CZ4uwU
2OFIl4jaberLbK0FLkHQqqNq7QS6T9uxXisQJuBj01KdaCwayxzNNp6BMnikWTUt0bxgDvAHoifl
WBxQVHq7iEisVwRY7ZFKTV96fqrf8JCDFEEwECwoB50YLsNg3Tvfon7m1J/0awBQAHzz3GC1BJMe
kxGZ9DSqR+R5b6Of31uDlOtKxVsNBCWSvmbHhMVdsWGIp77QrrtmOKuYKydBLMIMObfxSSkCtZM8
YfaeGN94CXJ0INtlCUEpqDMfJ7cpBE3RqFk0c/qR29Lsa+ZEpLYQ+lXjZutUZ1AThSQrkNO4IEjt
1CWCHDWLNlZq2cdkIlUOOchtMfXIvL+GLYnCbm8RS8fzTO0tpYe2G8rQWAVBfxEV8XViOfYqTbRx
M3l9vYwb3d60gIm2xEFUW0uwgos57WlEs4nskmqXgc111Lv3iVO1/gKmu4PyvlJPVcKyQUhtTt58
7wR4c+ZoKZ0oBYK1apTMzawYIHwqpoK/0R1sJPz2Zeb1u6APn9uUVT+L7+iKnM08XJdziBUo4XxN
41JfiDniKprDruo59mqEvbuHky2Zblv2o5jjsRorAZghvXTPLrEr2qC6Dcml2CrZBWJp9HO4Vj7n
bI1z4pacs7dckhCPJel870zd0UVhSWUbVBwy5rSuhgP7yp1A3zcO3itkfmtH7546kr4A989hqdPZ
yEOOMZHJNguunxi9FlmjjEtCLxIWVcCvB2iiyDqt5oScYZlTCs9xaohGEwtjO+dQuBeLViZWBSAF
g5QxtXtsPziTvOpkMmpAcZC8ozP3xcYpGBwxDTHrWysc5Kny3nEADl9iVwVnOeKEGAJhHsXXJLT+
ayoayOj2ZWIbek8m3VtVc4aa8TVOTTmjZHtDDniHYBRJ29cMNjSZhGYMWSyvVa+3K1WhsdEUwW2i
ndXTMYrTB5aeBK4kKbyNLMgwNNWw1ecAuMnDz9mhRF8qI3JuNZDKBBGoKQc9rIJoZUXNXUVvfmyk
d+lpoqsWyIofVIx8tyopUUK9es+qcbyrcjeDeu86m87O2L0tK/evURM9jG5/VRZghIlNPtMc3Tgd
crfW6p6Mtr6vOb4trCK1rumrlBsYbGrDtkcc1deoPCaV7lMy5+eVlBWhSD8nkb3FYLWbGuy6sbsb
2qFjxGhz0pnsnPCa1CLHhjwBPvZkXSYCzoBO2CjKQaXpN6kefWZDe0Dp8dYIezubDc6YJ+QmNGx/
6SQQ6wSGa/ZdqrAgWgsA/avEmdRF1dj6MkDjsLKULc8AzzYZc7BoNYxus/IjuzuHcw6PW0kieTSm
G6sEOfUdy693UlODHLSdofGU8HjbDapOOzrrZRofEYlqq7gHNC/Jer+milO3ZZJBdekHcWV4kJXy
5I3kPPab0e6OHV/0UmbdhYPr7qBFpbZohCCzoDHJJsGRfwjMuF0ZFklultbrSyygLwkTKVxeRGbR
jp4DNaQD+YHBumyccVVOkTg1Q2BcUX7LA/IJc1fhKyVLMjnm2iifOwTID5A0vBUxhRHpakojlAQF
101Nc/fSDwwDEET54mXEqwq/JpyD3Wcxus4e3QnCdtk+SfRQsi/FKjZR36pcbp0Wj1KgG9qjiHPv
qcgHbR2D0rgv7HqVO/MJXijUL+SdaO9IeVEWxIZzPaCpWY4MJZhnMWE84ETKYKmiQQGgtbOG1uFD
zcMT9vvqyvXYpMIyW1lt0T0CvZQnJPH1M0GdyGOEnMenjtRYeGaz8pBi9SIZmXsnDnAw5sFyCH1i
KN3UX07CFtuq74L7QkXyWg9NbyUjGdxYdUWEaxxWe2qw4aY0s+KxDmvcIfmAtEkIdWNqub4gBTh7
K3PD3RLvWXzxmSRsx6Gyl56kgkZ2YJ9IfgITMGlF/oKaF7xDPyW4IBDAHEtdxbdhSJXHcE/GD5BM
bJbaCi1aF4RnI9P1bWjl+tnA1AAgOyR1N2qafTDnO8NMDz8V9oQrlTnSClNI/mbLzj/jtREPyjC0
BYoiZ+EAKX32GxJFU+a9tyXUqMPgeRhPEyPu+eiZQTH7jNc8McmyaebNtYium8TeTLWIKNia5oH0
TptZ3jicXXAlS2eQxdlu8KXkunDXUxC8D0TDf02pcDZFpijdRivY0Afzno2xRo9R5NbNMDnNemwN
eQybxKH+dACBt0J84sgq11Me+u9VG5grnwPgPlJeeemEcXwm2ifeCbulILcLeShJ82LXsP0NuA4G
R2Z8lWoDuekhlbkX+wZaH4PJDRbesznVl7kemWQUCgCFbkvox5TSPqxMf9/SxjyJoU6/cKFyHfiV
e8RvStMta3FeDpn6IoLpc5unauFBtUE15oVImUYCPnxjZqoSdZFnRXAMovDcpymVo+FfmEDHV2gz
ezLMRfwYz3D0YcqeS68nJyZM3IuqQ+EipmRTIDBZlmYzHOdDPlax4h3h8xYiAbklra/WQR2RlouZ
8yGKTM1CnI05MOKZW2U9s2jiRIpV19XGyaYEW0rTLO5DCviAs1z/EOrCAUGo3yYqDDZ2sPGGYGuk
Mj0EeX+dDM7KDQcWF0VJrusbUsIU4dST3LQhzkao4JeJ3bxye454svLkjEkITq6qEeS32EIHwM3b
eqIJi/y+IBXJ4kbNAsKH6sS5xOXxPEX6OWT9XGeAjebaIN4gRNXWfaWZa855wc7DibBK7bi+7qss
RjnfyF3f+NNaE3M2j2iSg9EzSpV97l12k7K3DdI0CJPhRe9asMupRkNSODtjWGAYw6uaJnCBjDIg
e3ryzUdCnJbjrIOS2UxvL7MQvbrGhC8Vu6g8pZ4HOiDshxO9PPAxnjb2t41Iiuc8MHl4LGKmPtdB
MWmLIHIhAuiRHPWl3ifXeW1oN6Mt8pYYT7vHBTlHfFNmih7IQFqckzYxPrED1udKyzjmRjVvPEml
t8BKDqsFs/RTZ03Bg2kQwSl7zi2LNsZEs8iLUe3hIxhbrNvtFu+Ag1B0TA+qdbq9UKW4sUbb3na9
WX926oRhPeaO+LlEFoN4IMd7X1U8jD2LJx+Nfwwgyu3BJng73xwQaDh2Ss5u09Kxru0nztLDQ080
5i2ye/ucuiZB70ZRTgtHry8tvtNrMzd5MyjvH0JzeK+yxFxzEiKmWe+NS5LIAIyMAdIjy+rpG4hZ
i8UQ+5Ld1ljnNu4aqo98oZR2AqwAQwMq0IbcZkBBhtRmVSrmHBN6C2U6hrSzXvnurZuNGtJkc6Dg
LvML4g7WiBhR9oaCFasP452j+hSOAOZPvy3vgNi/1BXR8yrWFskQv6WpnexdWZOsVaPIYfJNaub4
2HD48XiGXctQFxAbPhFApx1wtkTX/yN9z/9NRDPdYBQ2Q3v/+aRuGb0UtM5f6ujHxiZK9+8/+Xtv
0/N0xiuMkWeB/By6+E077zKRo1+u68Camb25NDD/0drUfwNDp/s+vUbrOzH+e2/T0n+bSYnMa3Fs
oKCHRvovpDH+iRCpM/r16W8ydEaNT9P059ZmFzluDiVMbZ2hlve5LN0n6RrhhWcGQAswwY3PnIpe
g9So3z348Z+GrlFLB791t7aboVy7fVkjHeUJrw1UWT22wpWBK+xNZGH3+D9ym/2fs29YdLKRC/zz
O/E2TrHN/XgXfv+R7/Ni7zff9Obu9bfYz/lO+3YLet5vuqE7pk4jHQr1H3eg6ZFmwH/wLdjIYp4y
/9Fdd6HqEScLat+mYT9Pn/+VO/DncTH8bxvfhjDnO9oGxCw+3IGBFZGWQ1Lxzu4jQrbqAaRbGV/Y
RFoe3HHASCzB79hzbjuJ8eN9PKThgcRipKg6WDHDJ5QwN3uPA1ZDu4H20w1m9HFfalV7kbtj9DdT
37nZ/8eU6s/vd56q/kDlJ/PQaWNPGTvCfYadsmdRrUk7GH4kRxgdsK/0oRDkevDNvPRP43ytrwPZ
X730h/E27fe8olxXuzhsSNqBskzat/Q2kxzLddJp5Qq5KsWwgT8kNcXlOHssHennK9/1GdNywt6p
qRCw44Z8gamLSQLwQuYezEQrPj3HGi8zKwgvghb0VOyW6EvrQt815ENWZIhCabtPSRmi8pEa88OK
pspTGmuKCG45yKsyytlQ27y77SlZcCu4+MWyMV5nlZkfcl8vL9Dtxhc1karPUTdw1NOq8hQbmblW
OfUY4vm1XnxWfaTvmQFuUfSTL+xH9IoHQ7+3h3Lcu9AktpmVoSMdw3iTgLRIar8BbVqa3RPxOTp6
MC3ZMD10Uc3LeF1HogR9lNwLJ7js1HANFqNG1LIaMu3Jbgr/2MJLOKjEf2wmU9ti+EbnY+srFTnm
KZnCizwHNlfRV1x5KkHU18Vba8D02HvuS5tTLHLeLUA6JwcODcjfenWJ6EtsGkAT6w6K/FKLrPZQ
9SNktY7CPyBasERZuxlrHblhCYpuPASToj1eVyucowsTw2iZyAMCKbEILV1uEBmMqyrMm008mf2W
jp69NgfUghRROJmVXq65sGjOyGr3onb0T0NYh2snHFpGUkar6FTG10PnWweeGkAv3TFQPhoEz6RF
Ho13GHv66zEfW3I0bJ1xT0cC11DRh9fgio1I52sU4HDZNPrzZXTpd+B5esvKTjQRUBFgo2o8J8Ba
4+jbFgDS3rYr8ptMkkolDeQlEEmx9DsyIvvRmu44nRPHh9i17PtlH+X7yarJBYWFBLeBu3kUMAlI
DCnhEaIAs9JOHYcw0ulRt0CZ+vwVdN9dm7bkuJtiKyk4/ci7Q1+1apyOUKSMz1IMYLmwDoG3aWEC
SMtdFi4mncz0kOZ3FdV9gNPZFzvBt7nIbdKrxENRNAx2LOUhBCTY0sq6ZIUPHWRKliAYkHQfXC/Z
AgS7MQpdP2pgEhfOMA6rMcM/UFYt0riySm/xHWgr5boclu3buWW9Sr0RhTjooEXaJWfHG8HvR5xr
Yay1yxYa1wquyVYbSKE0OULYDkmNJsMCeo9MDdI9YK2b2KMpI9V4144xPpN42bbRuZdGRb8IBAvm
h7F5mDJ56UrcFa7e3RDr7d2bMo03IFTXhd69pKRYLQnquqhTc6Xy4q7RoEGM/kZG+WeSAtct86pV
5ho9x60mWtLdP/vKibbGBE8vkdBtfFCUxuXohockKEyGJFIzF4FS7iYMnKJclFbZvBoIkvjcC/12
hA3QILK40RpoM0FMsEPh9+PnHoEFJrHayRf4P/2XKEOFqXNZe3IKAblkQL8wKmGzDWQFc0O1gFqi
Dow8bp5dXYFcNFMTBCqpEKs6T8W1F5j00UBpXCS67HYZRpqDxbrICUy/x4BlzpbW4ahgZNzVPkla
U0tb1go1HSWcQZ89c5mRDIWrn0Cf6XtfdvWNhMJ4NXRWtYtLGITEtvM/At1gAEv/pcXOcCKo9bJS
6lCblloLJ71TRdIe4I+xP6T2AyFRuBErF2SlCo1FbaLq0UxydUzpdUvdo3HZwjiA4oVaJklRy/hN
E+/D+TyWaLW+BUgUr12dJqFfNuIpp5x3g4n1DhVrPnnJrhi8BLWwM+1I6poWmlF+ccNiB5Wu3QoH
tLHG6X3X+PGzxZhobcfBtRtbzHiiQNuMtD2wqoMrGLTE2Odois80DG5+KE2uvu1XP0orKSo+bqCM
9E1hcOxAHeZ+kFYamh0ZWtoYO/hq12UMwilPSPuGC3b89QsZP8/tv27VP73Sh9KCBJQiwtlm7fqw
I2M18N+NCS4WZ/QSaI7z6ph00EZBjKk/r7yVi/Lx12/B+lnT8u0tIMWzLYH+Cl3nB+mAVxZDUjQT
TawekxGeKlND49VgdctcJjm1S/9UGukt5Ih2lwIaOAfzShJBVGGoFsgjkkx0Ok3JyDiprxE/+SsG
uKzyIcnMZ+FOpH8C5lslfRbu4qAtduY4NmtymlgEYcXWUvd2nKu/0A4GpI3eaJnX+TXvQ8PGOida
/l52/je/2x8v94OkLLEz4pxTYezwXgQ3TT1aS8U5f0XvfVr++qV+Vuh+/2Td2VnMHxiT57//oQ4z
BnqqLYF3u7hzv7QusCIl7E/YFYpVLaqnX7+YNd8qH0ovFLJ/vNqs3v3h1bSYRtJYJuZOxP3V1Anr
0QIKu0+G8M2IaXdIJ22vuiiLDl5rTrtWA91hplhbPSdsL/yEyGy+yVXDY5g5ctwkTdceGBdhrRkR
s8UxX2EqBn2FqEGsTFUWV0hwcWqlNaOr0eC30dZdNJZ2GueiRM7liU2d8uvrnC/jw2VS8WMhcMk4
4nLn2/mHywSN5uga+8jOkcCwUifQl7kFujT3He0Klyr+lE5m6d98lX/1oP70sh9qarMtWdxKxgia
LWYXqHhzU4OduQ7SBSAL7VCo8RwwIr/CO8CZc8DK9esL/8u3wKIEjZyUVo/h5c9XnunG2FR5bOys
GApmw5YYi+YCaAK2qlbQuakcwNI69ablfGLVl5tfv4G/uJ0hyv7x+h+enG6Ap20Uob1rs+6T1cTj
uS0C65BLhxtbC/9GazefFD5+z46nQ8KmWyH4989XGw04WtsS1KCwmuRkDOkALAgY3q+v6S9Wej7P
P17lwzU1FgqgTJT2Lm/pQg1cIM0ye90yHvmbr++vXmm+FN30BKfVPy0Gld8V0+TouykYIKV4xmPm
+Hv2mb+5or+8TX58oQ/rAOePrkWoarOboHOIh/YyoY209QFm44bvrNs0bB3wKXN5DIiJo0DVVn+T
WzRnBX/49mxdd9Ebz30ln7P7z99eEI2DdOPA2nVuUu0mRoJ3lWkbe8y71q6CD19WfroKewQQca8o
38JILl0JyQ8s7ouGXwhLHICkuboojmmYPzq1xbQ2Nh/Qw5R/c2C2/nyzYVLCYu7RlOAdA3v4aVHB
RJNC0a55a2F3RAVHqHakx1ti3hGbadPF6DvjGikMPmyc/FDAK2xylCMxzrqVEEUGn4nltO6LPWVq
sE6YfuUVZ5pGQxbBIeJLVQ3hXpc5JRzyBAMBF5QrMN298miganG7rqaS2qoKJK3xd6JPyEcdZE5e
Xm+fmqb5VuL8Wwf6NzpQep80JH+dpfn/6q54+Ry9ZP/xV2kQv/+Cb50r3/2N9pPp02yiYCQijlv9
W+fKN9B4oln3xZ9aV/5v4E4QXSNqRy/qmjyj/xCGOr85gmYatyI1sIXG+F9pXVlfuSJ/LKNkHs2p
mgLtP74JWnQfH0QZ5qhzTPIN6phx165D/nDpNhjuV7DvMNeOY5clOwZnVcd0HVzAIvaKTsKKjsw9
Fs9kjQep3k9RIZwLA6lmtwA3zJ8NO8AzKVKczkMPOMUaq2B4gIjhb0CRoKGqB3D/51KIPGbTVNWz
k+lMyEojxnOIZSicI6fzxluzgLgPzf+n7syWGzfSbf0q/QJwAEgkEojYsS9IgpNEkSI11g1CQwnz
POPpz0fZp8Pl3ft0+/I4HI6Q7SqxKCLzH9b6FgEEa6NVNFwQmD2s0ZAtIscCGDklxIpBAGoWGpoS
YDwmLPDljOPq3jXQ/G/BMLPNM8HXmttqJKOnRpwj8CGjdD0JZHz+wirLjKh7ydw4J1rlHhh56WNe
gJu2MOKhlMtKq5hYCTJpvsJIL0BaBY7brixLs845G9d045Le/FJZoCc3juNPIA609lTGxMA1Y5Z3
YNFL+mrB/ukNZO+4k45EgJGVdvSKdBZVrm852XIodP1+HOx6NRAegFihhRWdozoHPgUxbSGMwX9o
bXN6MTAit4sc/yD4DL2ItkxDu3gpZpRt+E3jTHplo8TBzIwBFtesIbjEg1XNVjTfiSjrDOgWV5RT
bU1VsKYUE+5zj99yBwu6MbzUpfFcznlgVnj6DQ1jYxqQq7SrmkbqR+f6viQkXwnQNHGqGFs0IaIR
1nx1vPDtsnwxYbB7JCBf36xw17UhFr28HDx+G9SfrlVtnQQn+dEg6RwhJkGZxjFQDitOdEbDMh7i
Cp/j1WPS6eO5jfSveKpwdyYJspvG9JmQdj2MDHwmdWWAHrlO9nvWoneuUmBkBLyzabYQUybGhIFH
jpKLDQ3tSridupCKje1fM3CZXh0OWgo8wYr9C1yn4A6C97NZCtIb4O3VfD5QxclPVKK7vK93wxjk
aNr0bCMb11yOsN49Mbf5AXhKvrf52Jyxwmk7e+yhqQqLt47ZziazMjq14opLqG7DQLOQKlvJYvad
A10CxZpFgYFgh9xC8GH8VK3w08LuvoEqlj1HrczvesE2lGVivISRy93hhsg0+iY4QrJSHlOe4qyI
HbljB9ksrURikcZBh4cl1P3HIB0vsHOpx7AG76ZuwISqVL0vbVQlkUu0FxopUDhF/A4HX+BKNJJ1
cGVFEN+HHtJPabjzARQ8WKRFzxYxMtruQDr3XLF01UGuEJX3kIblqS/rTT/qMytbIgmXdRy2Rx/E
LQrGqcUKGokVyhp0ZOamB3EYTP2ZO5ilrdIueV7+7DqkAoPRLqRvJF7a4rXN40Yd25anDBI2nnb+
ywIlV/5iGW7JYSQerJ7P/8QlKjP/MzUY9HS5e9LmWf9Zx+jSkErflLaCjjGwkddd5nJ1Mn4phI8d
7uBlNWj85EuM6vC3Z/bIBkvOtIPE5kuivRDKL0TUqjVJvc1tHIK0zhuwMRkeYwiKCjHcJOcXjde9
Jtxy9kJwIBtcScPBCZOrsFIbLoksLnbrx8iRM7V09bRfA79RnoOo1EvEmN/XTdR4EHIABZNTcze3
SWcx3hrZgoP5ZLwBZ2eFx1aQcn8VX02EXKIK8FF+RzH8SLClw53rYom2QUB7bijlR1vVX2UlxErv
nGo/2r5Yh/B/vdYgB4bZYnaSTMYWQduY+zEVyXtR5vlalxAWqGdkfrLAKyNkoBXnk8BJyE6t8eRU
Oc+DawafZYKG7t+UXfZ3otwvt5NkqcfkgQbZZPv4XZf9qZkrYFqGcaiHO8dsenICjCGzV21UTMcG
jcrjULQWZ1zBkG8QRPARydLnD3mlTQzMAd52AQXs7VQMhuElrZy3mkk/uKivP/1l4RhcU4M+MNRA
5AqZxmStzjzPMcKd7DJnOI7WNWW9SOYBq7VIzpPScwHfwLV7eVNGs3OY5y45IZnniELjd4UxCcEI
1Gybd02YGCJkaD8nkI2XfZ5MaEIUeqQFdR5SBl/ZwwHvQbPD8T1tOs73mxlq4ToFRbGY4Wps5ajc
PXln2HdNWLUiJS85cP32ibq8XNnMuKBPuOjOi56Wr6UOQRssQZ5D2V+0TuEsCmsukQAxHdo6dq0h
sO+NoU83xPhQ5I+O3m9rfZLZrQKr77mQ8DDFofdylJr2TWNauzQoQDLWlq6dk8QuvbFo5TGbGnFq
UNNeqmHyGHonCNaZFRj5jF6mj43imEEqg9WsOUf05PI510oBnMypGDNW5TpsEUMG+kRdqxOFLALn
EkonXzbyRx5PN73bvhWtsenCErEBStu7Mn7v+/rsaoZzWxihAap7rldOHDfnUEceBhBxnVJvEL+i
kyJQDJa2ZUYcvRmVvFJgGEl1qt+3Wn42hw6jAyJHAp6EfUJSt1X4AndcKwkqXJvEF0U2M8I+Ue1m
1dk4+sumh4PMYgTNW/4ST8Tt6Wb5Pg4hVpLachdydkGU89k8VkysL1EgP1Rhjeci5MkTjH7vmlY2
wVpzQvAqzoxaaefA2mETCKM0/0wnq3whbookECdRLg2Z1SOPnMve5FCWcnx259Eg0TXTyzd0YMkr
RnNrvkhfM6Gpl4o4Z9sNqlfAo+GdU7YCkktuvw+xr0Cn9SSIBCwj3vswaSJCafphmRutxOnA3EaF
cGpMOK0XAcj/Q6Smy/rNzS4mGu/QUwF6ecmmbJlWncR2FtaHDlRbD6IHYZvMnOCsW611SGPOm6oa
uOe7IVjZFosz29achyphRGlFgoBGxaHEdTIGxnbQq3QfDYzc+WnSURGOoiVnEAvDsHRwrYObqpNI
vyKv23hpUXA0HoddScohsSOrgBOrXIz13FVLcJXBXdYGLm+nGXPtkw7iYQepzqQoZM9cLdZPAhu6
LaUXAJFJELYiAKezHoxBJI1Ol29LQoI4/RzYB94ATvbJlnFySKZE3BVW1p+BpKMCaoTxEGWWtoYL
F5xnDXMeHqU6v/AykgdjnvnpVhFXE7Q5fQ+Qvod9aUmSO5xG3YYJySAseyrpgbRuUMmYr1OZo85R
BhNzfUri1xRx7cvkD1992Wn60kCPvTX0fG2i/eXEkrHcJMk0/mC5U5MeMnbEaDQEl7w1ethfwM9Z
L/6oWFaZGXFli6DBN0V8UD9vifAUP+YExyiXkvbKGjg+R4bvvpVNNT4AOclvY8LEEgimJs5jqnCG
zrHep56l4ywlSTDBTy9m+6OzrRifBuxYT4wwLz3ZJeRbGUUUDEsSEKYfulNrWDzLTCxy4krcBUHF
CUCYuDpYnRpWOhvATz2rwd3obeM8s4Sqr3oNpHM3RQJdD/20DnejGyYWISWmDvrgurYhx+rmq1PX
2UUOKNgHn92kFRB+BIXDIojT8nN3KV0qscXQu82eQ6/pVvpEyOOq8KtsWshxMH+0Cu3fdrSG8H2K
CxZJROL0h5Kkr0UFdQJhYaIaYuSosaEDE3AzjRwvawSu6jNAlX7rR3a3D2PSIjZKmPNTi7a99IyW
5YsMRmS0pF6eWjt33ovRaC+9QQs1Xj+SNE9E2PEhQMu2JIYah46DktVa1kFu3859yRxEGC79DxgL
dGZtACHDsazg1Ep3fmj1SDtO8chhr/QQUOA4p9pX21kEpjSZSZpa0+jybnYjKLciFf2hmvMOgZ8Q
73CppmbNR776yQoq2UFs85MlTLXgJSddxSXHWAW7jn7jy4yumcwZDH0vayME61WkRs9n+0IkQZxU
T+T9zFe915h5qaY7BaR2Z/DcxCHKrUV/mjDmn9ubBs3bMXZ898z7k98NrUHVaTf1a4ZW23N8kTPu
pngp2YkS1gIAGyJt5rTYrnwtkp4RDCOiPW3YCFDWA8JuXBbLWBV8HuNyLI5saKNjF5nBtoJ8jK7f
Yl9S5ww/l6Shk/uMDaw1l2FkqWKV1637lOYRmgdZqEcQ4dM7fQwpSsCZLWuBpcHGeuBDV68JIoNS
1LrjaaqHF1RQl15rqwfQ/mzkifwrEE7qenHqkzHc9rMp3+yZ0ZTXTWl7R1TNuKvkwKBqNJuXrhLN
1xjoTrbShsK5FCDmL7MVB0/TkHITQegOd6w1Qty/4LbR4Bp5sqYQ1g5BwWoY+KeW78Ig1pZGJMLH
Gp/zHpscqG2sinrM/I6pNz5CZ7hDbVAflXMNxkB5crajbFxgoW92eOWdV2yb46Wm3BpXBqruHa2S
HayNUaS7nHqzXrfVlK3mjk8nXuupUMfKSMkJ0Rl8LHG+TBu9GsQbdrB611V6cYebimAsV5EUZtUW
mRJ0S1RgYVMTOe9W2njSasQaUSqHDyWC9jMoU3JiOqjE9SrqYOUxyeJSo50F2E0Lr5amtKsV/iBU
9yMYE8qieHoKBkIMFrzFIGVct4zppYnHZTMDiqhfgCqD9BKwyFxpqM6BunXtgyXT2FhZ/ojbh7QJ
5BiBhqbSIELv4MCx26SQ11nNd+NLWRBnf8y0zOYzTCYY+W4ROCAi3DmPqnZssxObDKqAnk442oyV
NVFfKISXhEGVHhhNs/AEdHw+zKk7g6hqg4+5nsVN41wNkE41wtlxIbaTZwtH76aJ00rHtcayeQ+v
WQt2jnJBvfpWMf0oXco2HXb341i51U+ZDM5O19z8WcokfHLznmCE3tSHzaBrxo5IwHZj22O3g2aK
elXLu6/EQC2+JhWAaN0oy9NxWTUO0ReG36wRWGsbrqSr1XCij9NpxjJT0eYHDFMWWaDkh6XAii9s
t5QPs2sAMzZpIgPX3quot9ZTmgovR/x76Unru0uZzqxMLSkWrt9g3YnGuMAJ5PofxVyai0jW1SXV
x4k7u2m6dQejgX6xFdEZCS7ZXyAony1X6++IshsfilLlO1rHBuCBVujHSA3Oys1LaN6pLvc9D/wD
jjDLq7V02rJajpZTRMpzQWrmUZq1fOBjTyUcW3sjasRuNPz2JWh76yazjZmYKbwZoRTdrgvYTxFH
kG/MpFo0Sl6oyev7QY0w+YPAug07UWxxTtuvOj+5d1+QXkcPJNfwzeuVPxvJbdnl0akBAs+YCuZS
k4GUGgizIHHCDL4cK3z0Ry3dWhKTbp2KDbUd8en0md4kZH3blu2r28/5pkqaYeOGpAuGQDFXjo3E
nDiRZ5cD65CH5bCTTfSBmdy/TisS7G/x1coD812a3d4MYRywp0tvfCdGiJGT8xgYY/ojFkN+mFFU
L1zgobzItNliCGu3bRyzvW0RDvDnadYqssSqcDckeLl/bzfGjPGqAYW9TK6FZRiG/ZfdmMbxmw8c
JDvcKyiE82uV5mAkuiuH3BqWko8Q8UW2MpA/iHKdTJ3aDZnwx3/3QsSvK6rrK8GebUF0tnnEpfi2
yf+pn6w7vxoxgIy7CXdq3BPqFrpimO/L3nKbo+Pkhn2CJKdI25uz4dxPBf2fDeXT8Kae5zu0+ic8
GZI52WTWwTqLXeZnIpRZ9WbLWVkrq9Hkc9Wa6ckFsHSYbZG+OBWrY/E9kMuG3nhXOXEYS5Ou8Znx
B6KFthUXsx+0jzoEnJx0MPOAHnVX4WAQvbSRsK58Ouvg6hFDAafXnx0MLvgtw/EeVRK+ICaxrjfN
enJjgfZYiakQFBIiOA4FzNnWqSFW4uDDmTOKQ5cGXIe5TElLSV9MUej3rRns1QAXy7wOLdV1fFl+
TzL7seWE1CB/hR4jV3kuv8eewfcIVEmT1JTvwahpVepTObZzGmVSn3GzGs82ki+CghOq/AUWeKgy
reyw/wVOxMo7HR9dcFvREsga1b3xXem731U/6iQ6gKhPpg+Z15ydeu8c4+8+wQC7tiW+kNippnJN
uHTXdoJpkv2Gxh0fFnzmneabj4Gcul05AsFkyy69ZCZ7RIvdQi20a88CHpn2xbl2Mtm1p7Gv3Y1z
7XPYTbWh58zcz3ExuThvBjqia2/kXLukkM3jqi4zuTEr4MS4hsHqc5po7+l3kzVe+y323va7e+3B
zGs3NmmMtyvsCBNIvo52rXRDc77YsklepZmWb4gg9G6VTy2Sd5brvEkSHPRdO9Nfbgb0Uza/pCpf
ap9Q0k8ttLvIA+8WfLWiK6rT/3vnaX4P/X8Zuyjkscg9QEW4Fvruv+xWuxyunAi5TiJqrUOpjcFt
MWBMb2qR7PJMd3aVg+9y6UMW8OAPHB2i4G7DEVcX5qhh3NttUDFNm0mwZAKAwTzPkuFM1wPbzWJO
+lJnfYkfPBLVBf4lLnMT+U8wRYNnq/GYpf5xSIerLJashVvDyYh9b8TofwBIFms7Ku2dHVbJvelK
4H6jjWjRNi6lCI+56Z9c1Aa3RJB1TIB9LIjBhWdc3OnZfKAxw2moWTpA50hnKc68ruPKrhx7G0bX
nKbWpkDl7tC3fanSk01K7kkURm95hSWDB0MB3gn62PVQPWgYTkUxMHubkuaOw6U6OXUzrhsqmRbZ
XolNj3PV7T05psl+rnTc6Wi4bEaGdpl/KmQ014K5o5CU7Yn8PyRvweCvChH3S0vO6cqtxj5D5af8
15CtwusoWSAuh6yo136bhJsoq7SEW9dS7CziFi3pFGxz5+rqsOyBeBxUlCSfEQL7mfkuEtoULeeG
TjiPruGtU0xcQ50B10M/uMVC4t/7vRu+ZwYiwlYFkXfNDjmPTEaYFERojSLZ79MYMKapR8Ydo8WZ
TyVFZxq7403ihhohRpjD+e3apaE5+TmJYsdkzltWjzpm9mUbCGfRI+hEJlH2IZ7UjittJvRvUlX7
2ptG9KCFjflUkQO59Yn/DJdFX3E0QUK/n0l5RiBniRvJKbW0FDAFdJlXx2OoTio04sdcbxJO0dAl
n8zhndlHQieNgURZ/3ZKZh0KT6jzXBOmdFtmxcV1iYTqUwYU9vdNNIeNdQ+rOzgMcAgzxjt65y9i
kbfOKQfxK2Cys0QyvvdJRjt2xOl875n068qpZqo7L4PyuonySdRrFm40xYkH7+MdOABbK5f9FWR+
NlmNkGLdmYN6wrzNpitH0oS0ORroPiNO7xzaSFK+Bkz3oq2AeRTczZiFdO96j31C3R9hg46mQ4LH
ddsWF/1AunA98k86A2EfAEHXuzq9BqoS3rSrTMxgq76CewqiaWbUROhxEm9j8k0JNGeAIVc1QL0b
0Qnqiep7pjtex7sIol6wmhKe0QYPiRu9oGnhATFjNkMqwqk6AxrtXbUujaK7vupmLVm03owhK6JG
K+QWREvzt6Ra3ObKoLDgkIK2Iwxh/UXqozOZTxiJqp0bSCj0xyqpb8v+/vs0/FuL8P/MjvFQZPz9
X9ff+aMgWj1iCvDfv37Z/P518LO48oV++cLLETBO993Pejr/bLqUX/q7rv76f/6n//EPYtHDVEIs
evvMonwVNVxAH+2fnRXXHbcSVz/EP4Vx/wN3tHr7rN/+gTvoH3dv+IP+sX3rf6bRv/5d/nAJid+u
7CO0HJaycED+Celn/uYaFtnVGIQsh+uEFfgfNiFT/00IAjYcOEd/ISDpv+nCvEZ2oIgR2A/+FtHv
L4Uf23Tdpo9FasIrYd/1F8VmTFw6HtfUx4CBLBUCGiz0tdGYq2S0Nn96n06/X5N/FocavyrQrn92
YAeGgdgOT6rLl7+KRQKAMkWJeBD/erEm3AzgT7VtErXOC7me3eoVHy6Bfs+uWGtqPkK50JeheKEo
w1Y33oxpCbzA3P6bV/WrvuiPVyWAIAjJy/tWOPxZF+eXERz2rPK9Mpy8Nql2qT20AF3U2qCUnJkW
Ki1bEtu+duCo0PyvJt+65oRicSXP0ix/f67+Vy8I45FfNEDfr8gxkeqR48HPBFHDr+8TkRalBtnI
95q5CzcUALsgl9aZzaJ/HEOmwaXU0mNJsiPhRva8j4prkuAsO3TFvXWVHPzQ6lze+62RcmI5/o1l
RTt6R/zMHTVwPvxQ40dKTlRP+WAX+cFG9Y1ObGTOMOEhMRHYowr0RKMvzdBdNDCd4bDiKpfL3JQH
vdJWzBnWpZWv4pTym+FnF0Z7WDKAcM4zYGiTvtcim0064AYp4bAmLHIdkrTNJQvRrbHNLd33oqpf
WEvuNFRMc/+u5TcsIbmhB7EvwaKY1jZxcXX2z32XlIsahMSyHNXOap/8ods5CKBSgFAC3k3W4PBt
A9IF9pGK71JHLskXWTpy8jLl72XYIhBHW+2nt5McLsSu78GEoIsW15wLMLdZu65iB9IDIxlcgCuT
fE8NaERn1Yc+tNeN+BqZzjoW3zMdUFn1a1EV7EKebcfdIyqAXc7cEMZjlzLvjfo1XecS1sO2hkIS
pA1vD9/GJaK4woxfS0QY3J4aUq8Wdfw89CslRwBM9cqo3kN1NPPqNmfoGkXOcmDbiPdhX1o8mb3j
6fC/teiSDMVWq+9Ycqxpi9/62Pcs6x3L0I+m+WDnh8IE4DQ3QIPa051OUZ1vHUT/maPWDL+WAYEz
d0Qbl5eo9X8ESMgOKB6sleqSo1bGw9mc2WotAz5aZusTY59ZxUcgKh/HDG6VJcVqHDITT382DFju
zTmAQy0ixXhVXh8aMh2Yooc7hUFCGZ35aBOMgzsn6F7BheL9EG6wYcnHaBaRS/CUlUmOfl74REHk
bM7J0mWM67N0vIBc79aG3ahVWzN5WuQECeNSKu3xTdZTus0BlVmLseqDQ9iX0S039VHWjX1fz706
t2b2h6rzb91///pm++We+8+uyP+/7LMIFF0ukv/9kjxEc1G//eJa/L5bv3/ZH/Iv8ZsFEkoi5vnd
H/uH9sv8DdCDI6hPMRB8327/vBItfgX3KH8JHYvBVdn6f8Vfxm/cJzaXmeNQ7wAG/Dvir//R5klE
59zTNl57w5AUBb8ewCNAs5zQhn6b98QwyCQvN4Ossk0dk19TN+4u8nuKSjB2Muh+mr7tHwLJOudP
b9m/uC9hdP56ETjX14HQTUmFXRlC1V/mQzwc5NIWPv6mpAElQkKfJZI14SN2dxsS4FRtK5tnMrrr
IlZkE1vUhRn4h5hGnYNVPHSVIvgOLM3TDNlFz29EPJbLyGlJG22d1WCrm9Ig02/oYT7J9n7qIJj5
OBhkaesIIh4HFMSclh5Be+QlNKcxGY9D4u9NkPI0tEQasUHMgqMWl9kilslDF4naa0h4JFK5WOms
iFeS5oHQY7xv3sg3WnUOBARq+ZemKR/gM6wTf9rGgTghk76GsSThgje2QS7wEtooaoJi1teobBbF
aN/2eWasJayqyTwUWrG24fz1zrOWzCwh40tlN/smGLemUPscUVWcsLVX1WUc5avTkqo3jXDsLEiy
VgDqcLQKZyvAW7hFdlc7894e5U+CXbeO/gMf0yPrXYQf6lDL+mz7xgYxu8dqYDWYJmeT4mXYaJym
LvHaKX0n1OkzqoSNVpBAGkwoX6Y7+7tGmiwwZpHRNqAPHNV8QyN90JyuAV0RpovBMBmC2RdAVbta
P0N8W5KGZoMOGi7VGJygSbJcY6XzIEhVTvPJi9B62MMe3tNjBgQFnLvF4uhS5eNXnzm7sdFfZxJf
p5JuLhzKF3S360kSzl4Juc5G5ux+AWfHffyOPZZrughrYUGJZBDVe5Pe3wWa/+KXZEjb4lwrl+RG
1T0aolgZxmeREaeo9xB/RnbPxI0VI2ImVubCw/W0THya87FlwEqqs9XCrGWWpvhoVqH9iI5EJ+k2
/yyu4WFTmBGNS4qXqWteFrcfeov7xdexBjD7Z0PoKeM6Bg2f48x4sLJnVdfzMU6G5Lmfs5smse79
se83znRdrmCG3FkmPJA+uVG5u7KrfAtg9sXu/J+JVpDGfSzlY2NBljCg/yDf1u9pN5nMDPOuDOJn
y8gHFGQF+WkhvD1124/VKrAZaktxtKb72ikPSndJughpRq2puGU4Ct0HmgkpMqeWrCQviFsaUpKC
WnYJqyiXydYJT31gEOlEx+zumhxLlmQ9z3FwiiJEIYE/PpdzuyUH592fI2LUc6Q0mlEfKrKneHII
2I1s4U2YN6nE3tEbrKvkhC5uOZTGPf5VUCHWmpylJ7Zo2x4jR91SuCCaJwmFUYCWbvhoKMAkZrYT
Bddkb+gdkSP2HTnc+9AEeGjOj1FvyhUYxFfWo7Cs2TDaYKIn0i67bDwqs9mY5rjMZ0fdYNP1gir8
QGJ9MnwWTnCgjq7eAchEAxO5wW5M3B85xXTUyc8iMXZxBfZZJzOC2IlsTXzGVhIZf4tAK14XanRW
Rh2f6Rub5ezrx0CwLcyNUw3uWIc+VTsoVwJd2zlldKC5G1botAhAq/u1NaHy0Wx5Iv3snkwjJHx5
+YAWd9MjPl1GMsSZ0JTvJOCsCEB5ylhw2vyLlRkn67SRCWESBcnU9aMCs+Pn7Ws3ZSWCso5SUzlP
8zBd1IBmY3QPo2ohlfqLPqsfWDodZ1G9tqn8YbYmqxv/Vp+I15mS52QiDaEt+XPYDNK0wqt7tEAq
Ms+TpZ1dh7cnMyqPrcye7XS07KC0LiqrIIdB1fFWOcNuQE9mmmIz1+WXSMhW6OI3AIjRgqU/68jQ
PBDCgj24KolDr5yfVKxPoxzR9yRgWIZpXQkX+ZaVNh5qT0JEDCq/2X0z8ZsuqoYkRLfV8Suh7TNj
7dFkLI6Fs/F4wu7gND9XcA8nRV67lXX5Us+atzhRPBjINMN2eO1d/5QjX9EG51bv27sZdCyEUtRa
TZ0czCLYzYH1swqY2sAcSlesm25n3lZSjA4MT9YocUEPwQhcTHUWLzXicAhzDpAMjb4H2PaGR2/X
IlL0UC6c6hJV8hQGiWfE2gFyfg6CiNj3otw0c3rW27S5Gmnum7Tb4J6oFzXeXgQ3ta1go4hdQVMw
NMhr671NrluimLMX14p68ve2fO1E8uhnDcZkOJ0Tcm5kOlXBIaQX/roN/U1Z26uy+EHW4l3mque+
NnZj6q5aIh2Hpt0Ofck+MV8ZpA8iz7F3ejSikY6J2VGXyh9WVWttp+iuKtrniZX2MKRbl0+6kxov
zDuO5tBvk9kFje5uqMOTFT3ydtbCeYXL/8H227c6YdAWWsBz7PrZAUkuaTHsgSrYNbdD2uFkvR1Z
8CKjhcKV1/faLA7TyMkFgXSBRe2K+1InOYY/y+km6JVXKP0Yjl/42+/o2hFlzotaF1+tX6BbwRBN
KuAN9dsS8eJXZOafYWAdhd3eCbveRknwgM7c00kUX8jafXHicRV3X600ltXE0ckgtpH1naxGHsLi
hUfkqZrkXqU/QN6+gjP9EWjxqkni207vjiAYl6KQHC9+eJAcWrPRI/Us2LuMd6T9LaeS5CmZ/ciC
K0Jes95dRd5JZ26LcTowis3IExPL2DW2mSCw2+jeurl7CRlFp0gbyVxi3Zy/Z2K6CbWDg3w9x5ft
yALveFgeGpsoqRQrdYxCIroAMxAcCuGwsjiWCbkOQXZZbee1Y7YZxGGOnd1gpkfdjX72To+wGFSw
RX6MVbBqHlGCYr4JE/1QBFdAqEvkiZXc1zlJ0rN9Jjl0GSLjjrL2NTzk8Oebx9hKVqLS1mUTI+Zr
tgZuqoXooydCslnNzKaXh/yx4pOaV/mVUjsOW5Q7nxZz5TBCqVPxBtbmrQXeaGGPKY5mOGhNemON
8cpW9lM91u+4nH2vtRhcpH34JCtiuIgGACt13aSD7b4fWGYvAbPhnNd1CpuCXT6Bw3SeCCnidIlS
pFjkljyVof2K6uDD9LvnBsEkXMdsoaz6qU6wqA8Ej6rak3JY2oAMgpFiZn7oUZZ1HLwJpGQhs3NV
MrHwm81kSE/12tKEhDVIdzmE4y3rwUXoF0t3+EpDGubovq3c/ZDRfbYR0Y17wH0rO1XL8TzO4bpo
1iD/jxWasZVm1njww5D7I7pOHc4dV9FqYpwbD5sZBr4yn4NBP0edznngbCJGtlGyYVm87SLrNCfO
uqy721HP7nvjROqehywbBPcPTafLxcu7KDoUdPH7MLRbezBvo5IIbq0a9yTFE/5T2V9u/hTybE5F
sB/QSMd1sfVdGgmkeVELDWMKFqnzYA9EJFrtWwRZgra+W0lfZyZP/dBp6jlpUd1M1VMFA3iutF1n
3riknkVXybFFSQpEdl9l9sXIHnoJRHBiV9w1SeVelbNkNWXZY4BafJn3BMe6KrvtQIRQWjYzjvI8
OZSOnX1oMoQVEMzFDplYTQ1Zu+0Lqpziidy+HroXVNg+baevHJziyY11B5iA6D/7oSAfLHH1jZQx
vcNs+6gdO7YQjhw9XCv6B+m74b0jMvtGrwKgtRz2GcyuMnkqlOt4qZG5Z3awvJNaG/7IqIa3aVRe
t4OaNLy2DIp9TMpJt0S/CiQYNBvR7NEOfmCwRcKv/+RbOh8qned3VCn6NpNTu/H12LgUmN3Whgra
oxNO9V7PQazqmqov9HvUxxRm46Kv8+a+yhLxgMF8XGpuxd0Sh8NONxpArr2FzEtDIaLqgDtu1saV
PxkOaRaaiQKkT12WRGV1yAui3LhrUGehPdtpbtkczJxJU1p3zd7tVA8EQqP1GmuCBRWrmENrKZKF
zelQQOWgnpn0+FI4rXrSa521MpkhNzG7mHVALtrRIiT3FZKGe8eCpXqk0eH5cZoge3diu3vRUiEH
/A1hfLT6Vj5INw7PrtCn+2ZwyztjYCPdW/F4rAs3JP3wqcfygc6l3rhzO559lDGPmmXBns6jyXwl
gGpYgxbjKGO1c1/36v+wdybLcRvrtn6V+wAHDvRADm/1xSoWi2SxnSBISkSb6LvE098PtH0tK7aP
tyPO4Az2VBIlqghk/s1a3+pOQzx5R6AQ7SssXG8ni84/GIQ9vpO/mp+7bGjPkEeam6wzkr2MVUkP
KTompKQHR+RYbbCWoCuirgffWCLa60lxtALTIGMqkUg6mKDKucFGAA6RIQpxq6TZYCwNdANP5BhH
y5Hj6TVxMvPE5NJCcekZB0wLijMlB8SbxedifB2jDvoIo8m+zdQNyixu0lKq/r7hyVTkrjdKbgsc
uKuumj4QPrGdHJrOWZVBfwk098HPpxtgnS9uPMtR5D4qYFhPMCjsFgeWOx6qOIHYPrhrx3OWKPrC
la0R3oFsHaHT86BVBCUnOgtM+5ubcZmZyZtdp2sEtss+TDdtDmiWyo2LwXZGltxYj09+aOvbPKif
RrO4mLm9j3X/lNndyjamZZTA9S26bZ+eTL1+NIxWrEuteZ5I1luoMKailO6lt/uHAEBdqRBis5aD
SZ0e1ajtQ1/d+HHY70ujglyOtXtH1iayw8m8UT6iStPOANDka1FFbH6HZoMUeIP8OV50pr3p63aT
N5q5KtdN94TSnEi35gB+BSeMvwmz/LPMm4f/fthhfYVg/bFb920XRoWuE7djsQsBkPbT0AUxCRWT
4w47N3uizY8P09iNN3BITVAXmbrS3bw6jUU43c6hoHcDvJmLkTTJTQ01ltBON++BAAKO8b5elXR+
awg3EydnfpOi+Z1K57eLVXt1ML7euPndK6YwvR+YiVM682p28ztKwm95reb3Npvf4ODrZSaQtrnq
slS7CgPedTW/9f78/hNAE67hFVbXUjRiO3QDOuEgBHKeBKla5UYdnE22dRvENCG+NU6ZaT5vwoCT
R29R81TMuy+eoziXWL3gk42i9l5PiuZeLxoJKN7FiTTV7Q0pbdZGzCedGTicefPpRxzb9O7MJ6JG
ysp3cz4la9XG+6hEdVZW0RrlB4dpN5+rGurLtfw6bDsiwXYq9aPXvKTOKHUl7uwkFesIKsAjMgca
BpajDFCiwT1UaohubVEYH4HQxrWsBCrxhEv+6xIoOjCPw3wzNPMdEcy3RTHfG0ks1Kc+3yX1fKsw
zykejfmm0b4uHX6axT50uYnQGcgPf76dmvmeCrws2o9jQd4kd1g032Y4zB7iADXrwp+a6RtDwgO6
QAGtxzQa2MlSf/ZV15YLFWfmk3I8hlqSfI2XQYyk6SgLRVcZMoBKeTbXndsXi0lSwJkxsX64i05e
k+XEPETx2izN6FSyxUUlXBHsh2PC1SKBbaz2gjdbOl2xw2E/0dzgxdhg+vMQbLZf/6JFVsPSk0ja
uac1L+dhyiMIO0WRgZxO3De/Ms2DTDgkAPP59KssgagUJAYM2MVALd8tvbztLXLoViWW62pDVAJ1
Cd3CskPTwMBLuv4iQaY9g3TGNarbu4huczdo9kudM8rp9J5OYqKunHh8FfY9LptxLbTgkiTVJWsj
udYGFg0IIiVS9JzsWBr27zQxTxpasWurE2LdlPYDFhAqIM201jpqUk5YVJRoorM7f3C1o4+Ne81F
36wCPY0vHtC2hduCO41c9xIbyQW9f3RIKpHuco8yu5P6VWgZ7TrvoxGBw9hT9LRZiv3FfY0xybKc
iD8BbALRqSZI30zM1qahjnCp9MUg+eNE90VonPtnpzPI9IZlvcnd0V4SkWFuK0IyV0YvCMuY7K0f
FTCa8wGilV45G4apjFX0+g2hxy11IWkH7ohAwBgeymJ8LEyZ3w+A5W5MP4u2dtf1/iIkNeXIOi5a
ZWlYbFul0FNoQKWtxC03PlYK5Od9s+lN3rXCZ64ZYLpaaKHyyHlpXgcSjvfKSJEFTPmrY8D/kQ7+
v8zz2y28eaxz7Op5rGKSKiQLmdqYHWQlHryZYbvUS+aLUEPQT4ZCUlqUOu382akgKYcWFZOKaPkj
n8jLImj5CSu61mDuBxrRX/g6Zx9aTsa1C+zvAYAXSSutE0CEE/osPIivi8D7ZpSNvABZmngKOFA0
InHpYj6hYVwihKHLkXD0BcwyvEZFmSwJNCdNV0TfQA05iyxpuNqrRq6oCvBwqvhdKfN5yF7wyF23
vs4TYaJDzb3zZBTQqNL8022mO2UULqVwly+0rM1Q0vmeuabpIOilNvuVlXA4GjqNR5/7XFaFXWMU
MPUHMvAaulfjYyx0a+1UyYNXZztEcmKtQYihMwZe54ZGdAw966C8AQuIxfs11lwShUY5wED61AcO
FKnOK6pd3PbFPjK1aEeA8fSc+HOTGVqkhowpcWVj4+HyStp+eg3ilMRbYUdLdpTaEtWTeeO1SflG
Rqy1D4m2PUSDSPZZazc3QeG1574J8jNGpPE94PwheaXydmT+tq/9XFthou5O1lxvzQkzK3uuwUyt
9fYI4bVV8FWdceLaD/5cstVz8dbxiX9dvP9ZY/291oOZ2CyE/es11qzwyJB6/KTu+O3rfttjOb+Y
M9sFYKZnmnMR8/8xBhYSDtO1BX5T4aBL/UHdQSiWCeOAQs9ExmHZcDV+X2U5v5BLTIqji2gEVg+I
g98FL7/tjNDK/LWYQPyZ0DEre8HM+qygzTloy/uZAjv5DaM5JLZ7FcMty7230IsFO+VaniLg1cc4
oxLONQlYJGVZk3batmJi/zbajned+I3BG+BvE8fNF2itz8inooWd+wTySLHKauFhHySmGBZ1tBxS
u7/tEXotBtPCp1922X0TpRqzmbpmDm4z+2mWZuNeq4bFtu8g1vRAH7V9cNuR7efiXV3rKTHRVhI8
jFHgb7BzZKBNnCPjG/fNAydJUczdVOD4T30xXZMjjPhhaBlsZGp2WDKR1/xhMzQ9vM4EgibVJk13
J61VBfYMp5G36sKa+HNEaVVk7/gJfkPusRhKecT7v1aNeRdL51DUZbjE+rrsCvPTMeKRVINgnpOl
/rQ1o/o+5rO9gXKGmGXSyi16r4eRQYGrDcfO4cMUbWkdE8V/ObbSk52320rD/sYs4NpyOuZ/eiG3
8dh+lKaaTsFjw+p80VSZ2ERVd2UbUYZAtsVsR/5Y1a1JCFOVtKul4eefcLCnlXCTjcGuafTdRa6S
S0WbH5XSXJFVGEKapECgtFhpU7LTVHermU7PYKgZH7p4cojgkaBZzHFFXhc2DTYRo1eF9HlhdJ/L
mji9/j1w5pussbPNOCp/mRTSvnFQ2C+YrGH+DHD/K2Z5W78lpyVj17tn56UulizurLSyWeVZtDSJ
jNS9ngUTZ3HTlttWS8Kb0YWk6jwQR9tup8TNz0NNSlPb99ehbt9EjBRx1T6FGdFSSYk6skOQlAz1
kQCDvQZlnIzEpyEc6gNWSkUeAz+q5lTX7Wea3yOshrTpCWvneGW2VFIlGLpJJ+qXeo8CtBKWtgzG
CSmNWZ3IKDkC6EL74uUL3/fhu6t5icZQ+NHEYLcoI6mtRnf+t5N9pWuLOiv1BzNG4IwExQEhsDCb
DQtHJon+YGwrvNS5Y7zZ+LQOkyE+0YBez9nCti4ZwVRnq/W515IVdr67eoqMlx6jl04caLy2O8J3
hJtvyLLGvmgqWk5L1toNNjVyN8gO3sDtj7a55RP/RVbCoUUg3i4b5bjnrLLKKyto1CGxax9hRBXB
5MzDgwajd08n0u2zJMieEiucRd5dEx8jEx5rlIT1TjHxuDQecnQe1YZFka5ekO8WS/ivxTlyrX7v
eXn2mqrAw6EVT8tMT9Mlel33EJGtfigx1iHRGIZNaxjzFGUaoZbb8jK18XjxS9ldJXopHyQ6nk0F
tZ3RUCnqtzbovVVlRP0Jk5RzDVa4PCJyGW6Z/1snx5i6q1avjRcjybq1F+JnHpFsHYArpHuiBZyb
qS6i75Y9MuZupKq/lRLaGdZvPnVEzPF1Uorh6ARZe8gC32D+0Pf6mSx1/W6w+upkMJM4yrSIHghZ
EWzdsJ/wqHhHSxv0I5KXtkE8GlN+y5Ko5szMTsjciDBo0S0mGZDjv9GkWTpXww8YKN+G3G0yXucW
8FE1IJfj93/wY6Qpe0mL6Ku9H4bZqbTrot8nTd+coGIyxwggiZYGOCxl4nyG8QUYFAsramrsMwyr
H9y+0TaZpRC1eslcUjZGsXIwJ2xothr2QjFpSdBqR5650Dm7uZ4cWp08u8C1F3ElpnPpGvmCZLvs
WoV4K3iSHhzsYnjYwKk2aK+XvdEQBaucS10zlei6Qd5AZoVROaguuJTDAG5XAEKYlo03VYSt5/zF
CxPMIcZ7PKbbfIoCQvMQU4xbXYZRsiY7tXjB8FzFK4Q8BQloRv5gQVB5afBhNFk7bTTTv+s8bZvH
bb5UrMlLsFPLqvVQfOqZi+47P2oWsDUlDcS8nXVXju0xKuv7oPZ8AoKIN+hHB6gJufFTHsTr1GA/
Zmmolb0hUeAy2SxPdn8I6uLoxbz+cazYpGBRH3LooklXIylzZLGoBjf8iHpnwFo92BsND+KCPsc5
FeiaOWOMbEOAbXJXEqS7KrtQnrpp8GYcDo/S5PFUTZDbj0B0mLN1SXOMHU1cd44ePUSkuBzD2K1O
KaKXuwJa/DlKLWZnIu7bAz/r8YgpMb4edFxQOIt43v0har5BBO3tBRrX6LvMyFgd62Dc1PObouZ3
xp/fHvJtO8jFvFFZ4+PUDUbrlGJXvS2ruDraes79HDU9LiSuytytmzeMjyzw0a5hkZ3fYDG/y4BH
xwsJ4/mln990GE/hnkXdsKnmcyCeTwQ1MToobVI9+iqfn4PKv2frmb2yz+7303yuTPMJY89nDSlr
DXEmnD/TfBLF85kktFLfp3SFxzx0ObLGtpZPKDXAM6ZS7Mt2CA9Zy6q2b13/LclMdSgDrWRYlHpn
wts4GAV/+kAB4n64nh9tR3KdWYvF7pk/rd10VUj2GCP0dRwDiUTMoeZ9Z0BoJU2koEJJEc42G5Lf
8FiajpcMGCQCNitsXl25NEKrVjtpR7I/5YQqLXWnIvVo8kQzrUzBbJh9jgBqkk9NWD6ZwgPgbTpp
2S6T3ErbXRHWfXg0Ub+Ni6LBPUfgjd937JVyNfDaxYgv9FBDUeBHkQpXggQIxk0TyStYQB0ksrXt
EvlV5kmx9avWurG03rz2w9G5HTUkQ5mwYIYmtnHXAHxNwSAFUt9WbpSRklcbGBaCpCDTMi2Dd6t3
KySOAqvNovamSFt3MqMC6jGNZkuPY/N5yrLYIgckNzhbVJIIHjGjMo611Zp3KSp6djvVrRcoSFNJ
wpKwUSXcj3zXgFjEhdE+tP3RZXO+DgP92vNFeW3HaFrNViNLEQcvWHJEC0iHcHfAsF6UIhxXsiiB
RNtEMJNa8lqmYtioZPgwcousaXIxfKHMc6BXw6loeUdxUb/H3jvqAnGlCFvkvFEmaleuAauo7EXi
6VsvKhhoGXcJSwnIzj5ChiEAo+25y1Direoq2zu07uju8PDIZRxbV4FPWGLacefFhO5o3P9rfSo/
soawK35GrHtUaS3qaDhznT9MRhl/Otjo903H7GvIiumA4w+ZLXiWR8MnVjYxKvVJi8cz2IVFaSEt
afUEKHLshf/p875/OQP+vT4Pad1f93nX30OgdW/q7V80enzhb42e+Yvn0Ku5UOno6Ox5gP1b0oL4
BbE2YcQUUeT1fP3O7zJ+9xf09aDkwAO7WO4E6vM/Gj3dRMdII8gVD5n7nzV61k/qep+rYtaw62A5
bf6yn5OMO0I94KZ57q4WtR0SaJrib/IZLxC+KuLo25hmGZoq7IZ7hOfdvW0oH4L8QDLjBnSO9VAl
dIl567ocJm4KHkDGRJsvnaEdq60Ecv8gGs+6hsKpYwfX8GVZRONYS28U7BRs207EjjGnn2515Vfl
Udcg+rMcRu7khFEI0QCLTENwOoljzHyWCKe0CyC66uB3HnR/GxJ2nvhibehgaElAu9OnGpw8iUxK
Ff0CblNFSlPT1x8VrBMshlaDbYz/bHjUk0a01CbGdHSiBqr7YFOT4CbxtwSXyZ3X1WgIzNjcBY5P
bKgzWSgyFGg4m0l2rimijGSm3NshssTFL4S/HYx0YFWaiWWiZL+wWK7hLZYALDuBSTVyl2aP+v+x
L/yhY6E2lh7CmuLO4M5CsF3GSq4LlK760eQEYh2cD/0tkfNQFMK8sMNjFbespQO/R9wyDhmLXZGj
91s1RjAzXDQLgjUrpBYhuaGwIWU9jJ/byYBHdVOHzPJuDdhDbGD1Kqh35G/WAd2fb0z7Tm9x/gX9
ILAuJ4HRr7sOF+7G6qPsuc/MCoq6rBEtGRPtDjAEkygllEFEhFlT03ebwG36rdfq0Te9IBphKUsp
tnndGY9OMCA/CfUwZGfUfAo0CJ1GPAS4bfNY1KqklNK1nYaV4BnLOLhrPTgPY06EWzW0MDtGSStU
D2QaVDGRtykVqZ6RWJEFCcIkB+d+Y+fNN0v23q5gKhdvYzbwxiorSO4Fs+RfuIPBDSlWqmol49a/
zwxNHYeAhgSsDqK7ps3u25TaF3k59m7m79s0tIor3cuBTDQiXOuxf0UZNzuDjekSQL3Y9FXhXGFq
tBZRom3BeqDeAtyeFk1zr+wEKyvi8xvixYINSN2QmAyLdgMOlkIVUESeZIDLr2/J38iOzHV8QGTM
QJTM5LGuiP6dbffxhae1IzLPgtQBqpwbXok42aswHcoFadQkrBqMRaGp7sN+SG+Ej9KYOEJSbsMi
QKQCPAMJgRrGUV9M2oBDs56t+hL1VxzL20qRhgEOYk1QyfSIuTH+5pjasK59r7yXXdhw7XUJn/sc
C0SAxosnWkhW2tRdl636XnQdQt5SmZJRcAC1XEuSjQvJPH3GsuneDwXDbCrk1HstFTyXtS5dez9D
GpgPjB0RiqW1djWzWzt91W30qq7QXXgDsi4Ha6eBejkb2ZTaaMJ2mdCudMyHnDByvAbu2T0HeoOo
qQmzcyis6qqBUn+Fokgg6KhYvAx90C7/M/78d65F78v55RumOUNYLTzNtKB/fUP+a9fb//m/2OBW
b/It/zLEwST58QL9l//EH5Y4ZP6UVzAHdA/N/u93qaf/4nuGozsePQpX6Ryp9ftdSnKWDagVu5zO
t42T7o+7VP8FUDyDOoP/zvxX/rPcIutnT5jj40AwdWZnrk1N/zMxnHzRIUGFYa+D4aFTxbW4GJtw
E1nLGl5UALAUXelGb+6shxx0CSzQ5KGpYiw1TwEi3TiAdNXbSz2VryLoUSRRVjaLTtt4PuzHknSb
BpWB/65GexWhPGaC+tQNr+SjrjUFyEmf7mFkMkRVN1ZUbyztqvQ/Z1j8LmDrb57CbxES4dw5QqvE
CEN4MGpe91MiMktrRKQarht37yQMRUFMn3qZr9SgkauhttJNE0RiHdr3ZONoW91N6k1ikLpRdNlp
ZBkMosXNh3dd5A9Nq9/KeREXh6T9OBbbr8ZD851/tNmNi5WbcJW05WAjLjckuzCiayBawzPPBmL8
MJv2llVvZrqsZsurlLzmpSuJMObwI9vvpulq2uSwXnUEFsx28swgIbtMkoVmFd8duE3LvLJfdM5j
fkzrnjV7gbYjCYaN3aQbZSu2yigPQcJmaXMNgPLcuhbjHOsj9dzzWPC9Dkqx2zZMjkf1UGjTxpQ4
1KlVFkTsoGUlI23h9vytYRSfQ4mtoYKcvbB95JrYtpLx7wDfX6ObP3QOv74UYBt1rCXe7FT5yd2X
9nozxgX6kXGSDzVZOLAqcVb0QCxnhYnJNZd57lWb5tusvHHkuHUM+9BKv1spoOsL2fTEuQdiP8tV
Uk3fxB162iRlnRVYZ6svOIqde8t2avycpFxa8aHKDzpJ6HWZHwy1wXy+zlHrwGm8dbJo53vcD4Y4
tfwIYR5/2kiHnPRF42MOOmfJpmATopVmpYbjm2D5YS4qmqMv8MiNxRzBvisn/YxJYtNb9lnp4uja
4fWIklagmZRRe0nKACCqy13AWPvVhSZAQ3lVuYhPC2LhtSKsIEAyRhU8lanCqNjHRz+/Bmy+1VgH
ANJ7l4QcZZnOlm4eRWDPWKbddCQpa439/42I6U2RAzbgL2T/zT4VgNUVx8WTaYanJL+YNWk45L82
xnDJx1fia8cDc/eCNtzwXqrAwtBCdaQl1joqiYlMeEQGF7SyK3aVVX/TR77HHiZvyHQLqR6BwYIS
4FANFTTS6fWH0/VfeH/Mn9Y2X6cz8z8LQ5Opz6jrPw8Ap0L303qAiO4W6fdQ654CPr6gNl6rOsIp
WV8ZXk1qTXqauv4mbGriKsZTHANlThuyTyuPibZIVklT7utJ3KD85+xq7xpfMIhr03MS9Z+lk//N
021/WZJ+fLrx+Hp0Ihzg/BcM/WeQTFMyee8NfIiVVyPoM2maWQxNUP7Gjo1BjT0yyCJ/y8yXvCuX
ZTOHVIVkF7/tWEL7iTK18DSkFXU1kOfNxPlgoFkpzJgiPsEJ7LIVift7DtatlY3nOOnuQRU/TNaM
jzK/hc54L+1mEVh+u0LW3y5Y2/IPu3h3Rt/naOzNT5TLHc6eVjsyOIOtN5UtRddwF/X9efA7ULgB
aio3x0oYUAC54rUCjrSw0v7iGtkNTARSbZzykywy0rit8jK02ifQFuTfsfvpaqy93ORZTvG2BlK8
cYxPgmG3EU2GyPkOwmpfN/Zi8sWyjZzHQSIo8LGwePX7EGls6sCTymHN7i3UBzYW0TJOAYWiRxlA
ckLtYv7YXutafAb6kCDdMVf0TTsNMtoi6rqnpG4fKt3kHLefp7R6COPxBroKUWbEUE0aDpWEWJOQ
iIgqv3eiYaeH0yJvk49AL++ziPQS01q5Ju87gSVQdM5hru+ZwJwHm6TtzL+XBgn0HcjZThdrYUA7
Dp0N6V0bfvRHYMXrATKrO8ZP2UgUrod4Gpaso6714thC/2VXsWlFBoUuXhjNczLdB/SRaeyvou4g
ynSf5MFTzUe4Vci7l3QwmyqXWz8FHDyQ5M2s6ROZL9NA99zp9qqqk5dKslEUTUJIDsO05WTZ1SJx
vRbrkHdbMKVDp1tBuWNoLsr+HDsJXaQNUNv8jH25DzTxZBPpHmjFNz9EjN1NOXV9cMx5DReiL85t
le7MydkkBZX04N6lYXKwTTWsJlyu1eSopcaEMNDalSi6TQOQLwibnJvpOTGHnTWOO9nhpU7zGPN4
Kx8QWD2HjXMca+sxA0m7cNxnZ6ouo+zaNU/1vgq8z8m0DgFJnmsEi/QFRghs0fUYESq1ogfM1o49
HVOALpULWBb4zNar9TcbV8TaHOq7wlJvKfHKoJPaZzhv7ONyt1giyjrXdvvQT/5Vj7qFlg29dLon
WPDR9QwgpcZIh5tcjMZ97szuoKP6lOMk8Bbg5cgIcxnG1ajrZ8lkO3WCR8lYy6+hWdvizu1A86Uv
UzUhiemWIohOTR/fWnJaK552Oyk/pxjSKJ/YOIr7UVlPZoXYvJ32TBLvAlCsqf8pJv11ZCZKw7Mx
OvGR4Hwm+KHHjOzcEfckPa4MsbY1jHun0jhh0cq7Oxqec61JOr8S0SmcKkKzE/9BgvzGB7AsJmDZ
rrXAFoH/53sas4QY/HXaPHviMjjRIh4ZnmefzEtWhvnShfdeKLeuXyPzuYXTzyp0uCs6k8dFI37s
bjQJtIimox6wpEb9w0JoF9MR1d7GseUacTnmCxBF7o0xfGCzBuVuPbedv3AV73VqPuMBk+Ow9DJi
24l946x8qgJgu+g8VmH8PjTNRnafQONowcX7SB7fRvQglEt3R2DfLo0NBNkJsxQRoa4vBBtiLI+O
GMgZQtskCkSIdGsg/UWz8kP5GOOTWY+msr9pNXYBX/Nh6nj+ZmA46dT5JQorbzUlxkWk2kuh1BOQ
58s0JvjhwA/2rMGWFhKzfdimoO8yH4uem3erfsg/im7a+pNHQFKzcGVcL3WfciqMxnvNrtgg6Win
dHshk+Gthf4C7mfvDgGrEED+k+u9y76/EkP0HRXfReRslisymRJiv/EIUpqwNiHOYCa2m1pAJlZ7
ySxogobEpmYfGZ5+ApxdJsY2bN0r28aqWNTXtNWcvvZ1VDkMkdqtb1Umbg0r3NQ2NE57cHBzsq9Y
tU6tLRtbtGsUnmrxX9EUmJnXUaaVjjinJvozKrBLrMvnegrpuIsIbyhBWIRrX/HZwAMCR42nMFCL
wvNaYABdhzHT5x9Bqv8/1bT+ibHyvwaqgojF/pv28i96SIPgn1+/+LfGcSammPwqdTRVxg9D2K/G
8UfMChXVD42jhfTFp9g2ib4VfC+/D2HBrOCrJmoEl9PcCNv/RG0jZrDOj9XPr30jwR6zZtPHOf7n
qq2sNbLHc8PGpxZ/dp578mpnW7rikgQMxtDtrjOFYKZHiIkQ95bF4Aurrm0nXqMB7IWhhYcgmh7T
zt0Sdkqlrq2T45TUV+2AW9nDXhr019GgP1ZYA9M23JSTs02meqeXyyIC/pCVSJuXbudv3IGvrfJj
ltQ7u8r2qWvdurVzQsC0HSr71g6ME9p70w3fkcduVCnWflbd+1p5P+HBmy9kOyqWKeD3rH2fsnsV
EmIgwV2P7sazh2uv9PfsNI9GaZ9ye3wsLXtZtvmZQc6anMRtJl3sL+2K/ctlUpm/8gP70riIk4fk
RgY2aK1oVmoSXEuyEx1BmN22obez8EHRXvevbS0uul8/JzYfGZqQrRW4ewSwa6hnH+DO2DTJo82s
678vvX92/9tfP8QZ9AYG0eCpmUvzH3bviiqyibBUr0mmWIVMLiUWmnCobhylbrya0y2K0mU6eWuN
9gjf0q8jqb/UbH3V9n96itB/6Z6rIyZDVWY5M7Pnh2+ALTkDaDMO1hoHYwnLwu/qzahTXfTKgdgX
mTd2kLrbLpjO+Gof+zy2jo7haHvpoiDyFt8V+NvN5Nbusk+teOMZgVwHxXQcs3oHjJsFFjXOXmd6
ICcaKWiwcsVNyLYtRYHKJpkKzhIwZpGOUgQ5eJisQzWi+yEQgNVYY34o+KyLYZxuaba2U4M6gnfv
ieP1EHjjtZ8QBwW6+aqoyvDXILt/pFj896gaf/mn/jcekxwZPmJAGr2/HsMBUXxr27gBPBX9OGoz
/vjiX89JH1bGTIian2V2qJgqfh+w+fovQDcEgsU58ZC1Fb/z+zlp/2LoHK4zDIo2zp0BTr+dk4bH
7A1RCkHe8LVhc1j/5Jwk8P6ng9KFXksiPdHlpuD0/RlxpAcJwWFJP3KSFJG5gbhRE1xDu7hUguCe
hVUCuV3XqcEOpA8DhH2eN5sx7dEctRlFaC8HtJXHnC0NpjwyOZh+kA7jeF52n8aDdnFm7kw4Fv3Z
lXl0qKVHLm3teHILgFusPYsDucmb6Ftv+RMqKU4oUsTgbgLRJOiAOx7CXZDl/oE0Thvgt+n6SyKG
1K07FpJcnek+7CxFO7XLpKSkM3toml1c14eIJns5cj2YG8VEPUVpRq9JkadgdefmUJ0I6mj4jrNJ
vw+cOHumOwjvCxMIpKubyXvlq/BaZRV0c6X103tYCAebk+1RYHb120BpvxRGyoTPBPlcW3iOisQg
+4dMpfw8Ng10qClN1rnGp5Ob4yEErLA2ZGSiRKxZ++hZuLS7GKVF4RrvM9efiJCC8OpF68fpEVJD
+j645CoAD8rEt7DQwgeTfcYsvQccCDNfM41VaPY5hZMOF9pK7YVuEe2bJKF5lfADwNROkgB7qP5A
zNSjitGzrTxzJJJkanJmmUmuF8tprHLgsVNqrSwWqdedOyRvcW7L77oZ6IL2WTEIrfK+gSMhFCZy
wfkERAwCEJYbk8+hb8Nx6eYhcSyMDTNutCFEdz4ITJl5+RI1QdMuZUe65NyRFhXiGBO/rFZEz+xm
IBIwbY52VsO/YygrZ1xbDzTmhP2xbYQSidGsCGoBIkCA/kPt1X0r63yINpZZjPhGNbH1Og8Nkhm6
CutIR5SIZ/mEzEDbbB5a2zLPoB7tY+B2zSXKo+It1K2IKSyJUsSThzyKS6Dk5UeFkfGlEREZeBju
vnqHunw1qI/LxUSwZ7pNkry+N9g3n23boAqeykEcE3ZUZxlVIGX9PAImIka/vmU/OD429ty0oPfQ
vndl4jgr1G/1s+2l8t2lY9z6I7cdvicxXJo8t7CJMGccwUegaN+hiWWS3GtRfkDkjncnM4etxjKY
mn4YHoU7lHdOWzDkRYbBe5tWkAsiDT4n6eKSbAChr/B/jtUy0M30PeTlmr804B6z6yyrdkzpknpt
966/7x0EOZkGNGqBN23Un8JK6c/zOk6tddBjs2iKH6APnxPcl/IJX7UqPVw0ej0YC2RFIZSbiOCU
wP0eZOb0MoTj2sBFzHzH+ih6AcFMT5P63fFGcolYIowvY5/kq6qLwGBpzXAZh648Rr5F6K5jm1e5
zJhMOmHLb3uklpPI3TxNjWdHoLpBbJv+MKPxW2zq+oRfA3kyESskVjC/tGhvRj/YKRXh0VLTumAq
RqWA7RwUKyr+quZmN73gUZiAvPKWSeDKJT1nqRncrYRQ1WW1ZMlYraIpZxBpT8QaLuUwymJtBqkt
6c6r+HvSldHD/+PuTJYjV7Ik+0VIAQyDAVuHz3SSTg/OGwhjwjwZDOPX90FkVferV9UpUtK9aOld
hkS+iKAPBrt6VY8uMknuzNyibB33D/APwxHju8EXBdUEG3ZPOqPtP0o7S5hfDW1Ymzxd+Govpdte
EXzLeQ9dos64CzAWW0RgNlq6HCwsjfuHts1nEJhVXZ902XXvnQloG5Pdz7wcMtC8inN6KAosoEGe
UFvQG9QvAPN7MbXI7hdfoKMEyTS8OVGsLnaUJB8WnsR1fYEg0AuDNoJgwlnDbFyacObaRf6gtKM4
xlzzzDZ1KBirhvrMowT3Ugwc/qdjxHIk8UiekxdvHO/Tvo9xernx7LI+R/YOja73k9AZM6p++Dk9
eewDdEcYFTGFu7kZdL9mp4NtNk5yA4udp4wzlEdVqvYceWmFw4Eipw3VPUu6Lcci1wdBc19C8p69
uZN6mtzxUuGlBF0UI2MVHvW2eU/PGD+96XRbPprt72mcfYxy5F4sqihJXi4Th1NQVN8qg69bt6Qp
yICxbT9S2TEcN5j4n3SjxCv7bVD7xFLFxSSQ+gJ6v32Xdeaf/ayI2VJLTYuS38T2Y6P96tFjb/bS
ztjxVsmBj48knG9zr7cIrXTpcD9LDU3FmZz4FdOFCeuHFM1vszUt/45/YYLiN5C0JU00+x+aAiTw
bIXo7vneuuUxYk/GwTC63jNnk7oMZZA9jFEt9oAM5XaKBAHcyVAkogojNZKwWAprb7R1igM+km9z
ZrIgqqfyMc8CM8SDAIFkrNMr9+8qTBbL4iqLNGVRC/Tax2b+0gR2s7UgqjSmtJ814clrXuDi6vPM
PrZuaT7TsWD8ElkNbEPEot9SVmGfMjMjLEinRfRcmrG8yjp9rmvTuEY1PeDsFtCNSE3nVyMTVhg7
DSGxEeghIeWAeO0uNatq3mhetiScZQYwISpwCvNJKOzmC65MhPu4R+4cZI55dalHWDGBPEHvpeui
GJcfRULIyFjaTFG5RFds7RXdpWyAbhAhTj+hjHyUTbwcpj6YDlGK3VAil3xF/exs8ZLkNxYydOi1
sCvId1f7FsiKB1dEGLtqbP3t3CcghAQdVOpeumX5WSQD0jq73gkwYJFjO4UNvvZTNRwune07J+CM
+rldoAVWhkrgNZpqp7sZY4eMyV/kNRkNs3Psg8MBFBKFG55dHi1PoIPsOOxGmF8wLXxvV5tj97XQ
NnLvd3aU7TgRktNQI/HF5iC+mU7fXFHrMnDRMa5WMx5oTnKTuQ0LZ42IdrY4ZP7kP4Bkj/VdBZeQ
zgozKe69TBZfFA1F8Hfy/KYltnnVFrbkqcxVgvG2ATBltauBzpqVgZ4c91VxRbFD9XZxq/P8LnHw
qU6zBtGURbwh1+IfzOfmmjcAsjcOBlSqKjvL/mLnZ0LRyuLk1XM6lqwjQ5fxMLkKrlqcLdvOpT/n
YGPsACOW9vN4CiLZ1Uc9Z97bYPCNJKM83GTctgedl9bjKBJBh5fbaTZxBseDV8n44JWF/qA8on5S
BCUCuJh9eu5bs73zkpzv6kI+/iJnm4wjBhk6GzEiP3GBZavUBkPynlgam3wxDnragEazn81sat8I
jzZXxO58RyphefB7D6YIjy1n2rqI4dwJVbqU0K3lz9pxsHToRMwPxhBV56CpzAMrIaIQiq3FTnbS
+7Esvra2PprYlyZKOoe4toydMzfD90wAtd7jIe3xvSTBMcPD/MTW1+r/+VPikqxCcggDbQ3y2c4g
fYzL6L7x5SSJ2qZVc/XHciX2ly9uXtxgegDYLuLuEpQJLEw7gvBIbghHd+mC4YYIr7cVeUXJktML
3hqLXOEmogWYqdUR8G0Y2e3XzIvaS2DV9S2oa+9GJLa5Z3gpLl08s8XzIzdj19z5P0ArJYclN1wV
opy7D2RlBlBFhZ4+/XQ253M92cN8xOU75OekEqygvTiej0BB3B9RERPRrFhcbypCecUmbihA2wjl
Bw9VGy9HiyfXLwOZ/FccR6rfDVmOL7df0C22XrlKuu5gp+Ig6iB9QYMVe9pCs/fFMJabGZQEewd8
2TzbkuHVAhJ+w6daPNBislyX1Na/7D8PXxWxYeeFpyxvjKPbnMzd96n2u3tJD86zokjLauPY22BC
9r4SSouo6XL8hCxVFMggFB6r2IFVwiMFauPWHGPy0Ek6Q93vihXZYFZOngMyy1ZWddtxaLQ1FZRF
L9x3M7ZaIl6t7kCRpexCWtNsfjhGC/eoVgRIe1U/peXYvpGXJxPa4nguoCe+DpaJB3jCWXcKhr7T
e2uEgx+WtFxAy3AW45RXrXkUErRvrmzqVtx5ZU0wJOMCULq/pIldNofc87W/yS1QhIwElHmoURyb
yWzzDWWRuAXdhHvoPAz8TD2y8dZuyOKzNHIXCxsxoV9WHt25LDP2NAMhrWIrIqu+Uqm2HHsyEtxu
IB4dXLPLjr7LSm9DxFfcyNc6x9Hyqu9+vZSf65St+Rvsstj2jm18M3vVXwEHqbd8Ii+UW3bJVZUH
fujaEZtL0hH8zmByxTBEfdeZc3PBvlCwZLCTOgrros6+yrpQyVHoNH6Ei8aPkOcNDYU55TRPfVD+
Vhr5kq8L6CFVZFdDUUa8IdBdh2px3TvEdWugW9MwCftSJDWJbNk5/iIcKKq9l5O9HriQwPGBi5i6
vtiilTszwrXXHDtNFcHgVqnBaJrgyipEWrpHpTveGq7xZhnMd6QbUB95In2l+Em9sEqjLtpMiLbd
hsU5mTRSMBHCt6un/TLqbHVoesnahCUHZrbc202Gk9x1wqaSEQTIz9K3PLK1U6nXa2TZ7GSfKD8k
opCegpx72RTn9X2sAA4RpI4CmAjSfCnddabA4Vqw6uQpznLBUo9Ojw+79HR0FOZQHYdcdqeqn5OW
btZyeoUGKMwDDRX1yaDMGEXRT+EMe0txX1GyK042PMH4TfaT5gIoR0yW/7eE+v/PGbH/pkfhbfnf
i1kvGnDZV578PWD7v/7bf9OyLMxdwicUJfBYr5LVv2tZUv4Dnxip77/3hNvWPxwEfyKvGMbswFvN
0P+u+Pv/4DdoCfqnVduX7n9HyWL7+Tcly7JJb1mr6WEVyFDc/qNYm0Rzo/BTi0OcuWVxkNDDYRa6
NdmnSLpf3RyJJ2vmMt02uRnSo4L2Yeazx8XZ4VAcXTleAJ+mIcYgqk8zKhuT5oXt87YaKOeWMne3
iYeAL7kCf0/SXp/MLLXR1nVspGGwVHyxBt8FQTSXfh76MjVvzNhwEXS7PArkdCqW6TXK6P+sN6wG
Evbi/UTOdjzSQKJ+xYgsoeY2Cx27TAn1Bpb/YOo+vcRIurtZZFxnZd/uS2EnpMvKdNexVL3LqOIL
g2RRYQuW7wCzJviZwQugQI7hfW91kXOo5978JplyHvPGaw9r3Hlb2hMbSUePy5k4vtgyi3V7scgK
DCqdqumG4o2vwrf4h45xkR1Kv+UWHg9zPoaJM9Bf5fb+01hk9Gi2DS1zvtN8N8uifXBy8+Is3qcO
zPulTjPO0eLI7uEyDFSlufNTYtAD7jr9FVT3PTcNtZ0cScmqQsL2YtqrIdnpfW14RYEoUDb4v6dR
b5Mc351GMSWiUwyRuYVK/STq7I6OZB+cT+lsIyYI9JcVe5SUM3sNHSiQiFUv6i/udDM4GRV9Btnk
UsDmN9elszjEF2F4zwXNj2eVzR1oAMO8n5KkgPyg8bPMvs5JxqxSn1dO8jh08AOKuB9eBrYGtELF
bk5F5wLpxDasC0ZL41SL1vjR2TpCgHMFDnJPsGutRvk2Fp64qwSQTrJ2RHige86UqpXpz9Qb1c7k
U3lEfCIDW7tJdTBrt/ocXOE9SlgneA/M7Ltq6g/tz/IjCBZ54Gqc30rubldGCe+Veo4CU1liXgj6
yQshs5hUp5dsaX654I+PL4M5VXvV2sYxMMf8EMWOeOIBzQgwkaKGH5XziXZzeHJW1D8gZuX3xeSg
lBY55FH4tNZlJutJT6WVyVctuXEDuiBgU7fp/I2axulUjp115RLXO7S6NsOX7fojFiTPIffUZWTH
F/05ltF4iZjdjxQi2M+d6RsJO496JDqVqc+Cq6UK82zp2nCYDLd9CMwcuHw0lobagsntNjLPDSqp
R7qRo9EHa6nziTijwV9Tud54HTyvfHVq6v02ncFb0eaTTHZdzKqTFnO7preP5ILdDcSBM8GiB/jT
I8cFKa88FelDljC4+PSkXke96MvgBeaVJz3SnAAT9I2GEuvs5LpjpGmt+odJE8mjqWdgwsLKBACn
FprlJE2C9JY07soop7B+tMba4i+tskex2NV9NCz5tVMj7pxoqnYa9+XW8p3pKOVI5Z02xubJb8bo
0ZcEcpMSPWVogNxuOsjde8D63AgDr0gvIovApdWzd7GSbrozoc8eqLDQl8psxvsElfXTbZiMua9x
EwnF/NKQ86SKlMv/s6VK+l/EUh8iFvEhtn31za0QolIHdTktrPRA6p/v1jyW+UMUF+MT7cDTE5sw
nFt+rXTYBFIy2Xs7S+qj0ZrqKOshwQAXmccgp5ZHS6O9YuQrsf1IWJSGN4LKNetfo80gvoFxTy5k
8Y1vcu7F49Bhg7Gi1nBDqxnJxY7cvqH7ZHeEb/hIV7b9m7objBPW2Ly6tWltDfq0XtOE8qncxmqz
oV5z2dnWDFgTzzIVDnmCXTgZgQnGHbgnxYBsEGn95sgy2ieJr+lP98f5VOeVfYnLdDnMpece/ED7
7JLVso2tDIiu6oN3Jni5bzvR39oAshS/jNYcpHxPRwu3ZaySPXG79kF4sP2hJ6wcVzIkjiXKT2gG
wWfgl+W194b0wC6FWWxhcZBnnt6Vg7IRGgwpTtzU2p0FksYJ3SJPzjl3zjMSTLsde1+dnMUqrw09
AxC20x9QF30U+O7cJPj9JU81+NKfjb20E3lKeYtbOvfKaT7RExY/t1kx/Ko6E4avsqeDxuWIeaYX
rbXz5oVJ0SwSLEnKIUduzLYXh1rZzaWRBt41B/uH6in7LnyyJejKcIQz7HIlXBTHfldA/1wk+Xur
Ho5l7LNjTnGi0o575KjeWTPDfJnROkKAFQVEsSunC7BqdhhbQdBZpmsX59zWnYkMhjExyfoKsmHS
QynXWXEiO7H+LFZc7dRE5DZR6pN1GidzX0uSiKM9IdWb9EuobpmZE8SyE+3o7qugHG62ARpjR9Av
OE5WQ4gYYAe3+SnYjNlN4svbFGXfXRFimu8NUFq2rjRpswwqz1PDy0PQ2UXUAjS/TA2elo7i8BmV
EG2xmu+sURy0vSxHb5gWlrmieGc6/cmtnT82+kom2R3HEguBXxlHgG5IJHHYujVFp5aDPdMx7Bs4
5P7sZLX5DTIgKFBlQBBMJP1rG/COFDy5CXY7NgsWtqRUgCcwjd9TpDyctix5+H60F4nr52gv6245
7uuf+DuHoy8aedaiWdhruhghkuoa5bCtQXYsu3goo2+8ASWvqfBxg+agC3xBA7rTtcmDFRO25f9o
o7tP1qExl/oKE9K8gKsr38fBpHkUlKAZmsYAiHcUEECEp5HsAiIEv0vDtunLNQLki9zBoG5jsE9j
f0x3cDQ850DhV3KqHMq8wL3T65VMDrxO0iwmInLlYUAOqvrG/SKt7ovYMJKtURZJQpGUHSYnsyND
tRVtm42PwTSpM/GoguYVO/1VcuKANXS8McQGifRse+mLzRy6w8vmh35uWc+dHEBrYM3U/FraxzJK
0r2dCRxbdUrejGLDsPXxvpplKna9ZOWCGve41tVXRE35C7uTqnFh99OQb3xzYijmasEAn8eh6sbp
55hO0++xET+Z/9SnLIYvrxlMFDMnrh8DAwsusFzg4zJNw6q2x4u0FYCMBsD74ghFMTQyoewgsY4F
j6fO7O2z3frPYhnJyQtqfAW8lW0EVXObdFRVFk0XQ2Fyq33S9eldVlXjo7Yi4xBR7kkuq9SH0bW8
0BHkzD3E4Z+scmj8URhhqmSxeRv68jl1a1q6bD++mmUygXke9N6APg2itvC+xXLdJVQ8OsNMLNnW
dXQB7QUf/3k25LDvJCKDAmfy3WLJvMPUEl1xpPU7c6xlqDiiyFpn7kNfpzm2zYgK+JZKvqiwCTuP
fgU2H2He3S0FOWU3R+4LRTrKXRKZyT7TMoq5XY34LYLauSPUMewsNTnHcvKsb5EOkp1qTPe+N0R0
dGcnhyo9WtRgxzW8kc6mOHUYT2kR1Vc5Fggfvccmc+Wbp+9uqvSxHfPmZtKAsMVgCAo0reQG2Jjz
yoOOidtTPtNB6omdQ8/3mcpm/ygjEMU97Wq//Sr3773OLV6GHNMsW0Zz15qSGogcHFjQzs6eAJ15
qoaGBuA8CnjUzFWFQMQSFvV7unSmfkIN2XNPBYwiKUnzC/VmRDXefyd5GGbjA+ABrtG4ht9S4RHB
IQkAr2ZoaTzZhY0wp3ND5c5ORZBkNpNDf2G/blsY4o2aMtgeRa3UxXgzczYKprO4MLd0xE/AOkYh
MZz/Mln+l376v8Vjnb/PaX8z1Ri+v2SjiX2aPR87spXxjClSsiT2071ws3qbgYp7aQMxPfuWFbzP
/tA8imSJ7/xZtB8RFRvsKrngg9IW8SHp5+Z5soNlb7o0l+cyZ0+kAuNaDQrndOun4GId3gGKdxyu
ElRvpu+OFxgGl5oKZK7Q1YGlgLNDv6ZMPTV+xF4db22D5m4jo422VN5r33bWydCNu4vgSbyLvieT
btE7BVSv3hJc4kubu+6DU+RE61xbuVtcwBhpEyk/uanHB1eAmkWw/6oH99prcr/cUDZQ2PItDJJ5
6y7J/DT0Fa3t+XKhWpTS0BwCHvtbetiZShO6j4pJLRzbsXJ/Ct0iQRk05fFwL7kU7gbDqt8WURYA
Q1OfvmCVeMMlknI+JWzubVYBwnuq62547GjcW2tdrQjCRC7I+JjpzyZayAI4htzRfShu9ZLjQ6IQ
aoOxmsxtPQ/eHUwT4+iKPNp22VK3wIZBGAFYNadfQze9d8nSssR0072jSvz2U1vsIa+y8WdpsLHV
khJbdml5bom9Yp92WVP19dDtCAynj0te8YRG+z1HzK/XlLJHutGBE974ogenKZjGk6gdgBUsKmh2
mrvfTaK5CpbjOIHIw0Qa9twXxtBvAXSHPuXMgL25Zw9/rtzFn+u3WG/iPIW5lGfN2NF02Iq9ySxf
bMwRZrW93uQhQnA2+ev93vpz0zdpj+R84P4/Gr6+BOtMkK/TQbHOCX0xCGejYsN/xHBu7Zs66Khh
Z8BQf2YNj5sZh9E6gth/ppF+HUzQ0sZr+WdaoSpzQlrEy1p6owihJgcr/701dnGC0S34M/L4f8Yf
AidVcyRZMkFc8KzzpFzys04DwVLlfHCJZ2eYsy35xYZBbAIfKVBUg746+MYOsw/yi0OMeQtj+LdG
Od62MJqbIdL02Bi8YDbtcDfir05Yp9yUwYrj9Km5Cp/lBLF1SBjSHBVpj4L0nmoDn2sYTAwdAFQ3
LSzkrhv2sNCugT/K15b3YKb7hZExX4dH6uyYI3EA5PdJrlEKGDKdigrw8c/kSWRjXUStA2lDSvXQ
rkNqv46r5HGJajPBNusoCy2Nt30db/lHroMuI69ah1/6uYfVacT2bh2NXSP2Pyqn/ZhY0nz31gG6
X0fpZR2qq3W8hk7JpL2sQ3eyjt/BOojPf2byYh3Py3VQJy0u7uiIlm/TOsbrPxM96YcIjDRj/rIO
/BmHdBlpfheyVbnp/ygDRAKGl36VCwiQSQTmPtj+6xP1T4nkX12KFgHJwLE8JFSL7iWfNOZfXYpd
gOlnaFvjMGvfOVeot1pEPlRkPNNi7UTH+eVeTWc1HAAgEHQR9+5hENL66ECZVKGqZfxzHvrxXBbO
fGf4VnclKRq8czGoX22/ufRp1e2ImCwNl6fxpkqdkvAympz3NCMKN8s5PwId7RgFdMYa2osNee58
8vU7PfOvsgMxcLOKlupLQTBpeeZ4dBYs60GW/znTsj/n2/LnrHP+nHvJegQG62H4r1+w/xT8++cT
iMu0WGUu6f7NVxooVlMOFLUD/qBvy7v93n4Z7+1tfOiewL5Vj0bx8K//Rmd9C/7DW2Tblkmro+U4
AUel/NvfOCKwII6n0QGLTfS9AC+jSWhk80M+pYsIuUk3d2puiWBbcZ58t9xF7xqspb8Xy52gos9p
tK+yEfedkNyod0tk8wwX1NCbhwWs5RswN+/ZkwGPOq+qQXfnjvRpQ8pnRS1B3RKvUnRWVMt04ibD
+YScsvEkBKdp8Q/wDAC6yzLb0zHb7uduBAVRu8snJjB6k8aoOA2t64NdLYyXMh3VBStU/sSWK74T
RU9jPZp98y0JvIVseJrlOCmmcZtNqXp1Yns9v0pRvP15Uf9b7tP/k9q3/wetp5jz8bgxDAE34X8I
eg//8kH7Tw2ol6+fqPZ/tZ/+l3/Av4n3GOxR222PYcexbXflU/6TmiLFP1w+nuvJQeM8ndr/04dq
y3+YUuKPhMcvwZkg0f+7em8LmJqSZC63X44PF+/032iY/4qO6a+VcX/5hmBSdMjg8sVYb4t/sVg7
ha5xTOnkWIyyXM/4AEGdHXMQgqlrV9pHtdxJo/IPva06HDyuPAPzIDU4eBrjS7NO65U/u+VWTgWT
r4Fg2QX+/IrnIkAFxCjS0HJTEj1M0bVukCe7J5mbzhTKrORxYEsUaqKjcWyosBks2j5tM6JPMmtF
/H3wB6PBWFE796hR9hkr4fg1RHP1vUlyF54TKapDXVaK4kg3Xdurhw507zh73idECgYNuw6m+TCb
msItURRDe4JSRDAdnIJDvUtjITpnvpc+TY1045AQQfvsAl361vtywozWDxHLW+V9iDkvr9NkzUY4
DSLHNpDBgNqTL0rgCiMIfLTZnNsbkIqEg4Jcy9tUpdC1XY7oH5lrTOcgK52z1cfxzTXcCtZ3Kr5x
5e7f4Gy5V9Ay5U2WGNoN7QRHMgzLYVWKd7D5ZXQZsDAjc7jcS2L6VbB3Gv5+gOdCtkj0yY9gpJb+
aBQdFPFCeANPiHxc7hrDs3+PoOWAQcbLr3QsgbhQ2tp+LCJ3HoN+Jo2RdFmkwtLJ4hfpFCBv+r7U
1wQ68gNoq4nQ0UTCYtPH83DIC/RlUgrD+CItz3glNcRt0BtZTiJIJjNyA91Pu5SbxNX3EvE9s8YW
p4UPsFNoUlmTGePTrDwGIPzKpdyVTRSwRcn1JatQzjbEjKujRGHqTg6AdcXSu9KfJao4hT9O3/2K
y2h6doeaDGPnaFCi6IZ+KGnfuK8bBWA7rqui2OrAEYe8zbrgke1+0fIszNg6ucEAkHM2ijqlwFtO
6QYGS+3ssgEv2r50Fvmrylh6b9k/uFEIe6NZdl4r4I4bQZnVG+1iR+UCmrybK+8a09KET86diHPz
rZlJfY1FOVLsJYmZ8sJCGUi51fD6DUgEIdXtFbIuW/6bC+JP8ep78XuJj+h3mjVyPqtC0NQWefoI
Fr23ftBwa6LBcdkk6ltGCx+pCcMpzRws0K9wbKwLubcqwqFV+Cc8qd0PetgmqGZNX23NtOTXneiM
i2WkoOmHnpyNUy9LdtXJ4IEsmiK2MeNcvrQ6dn7SeJ9+sHyO0L3Y3TWM2FhFLfYg+8w0cgfXaDWe
mgRwGMKgJ/GEGZ7nbBFbC7hvda6tEAWi388Bu35igbP/KxiUR2NrF+CMlIXLpm7S8ona9O40eEPH
7r7syccVQfc9UG73lmWJ+UD1x7J3sUzUW7QPWO+NCoYnOrK6t1G5JKPdkQ3CwiNzKNhLEmvOqNdI
h2jYlSLQ8MfrBINqUxW8FuBc082SDc0bDL/8rrJyNwG24NG1mKHCA3yKsaXCTFhofazQNAs0EqwU
LlzTIZPezuvq4UewIGExRtIkE+p50fcFXrwbjrkEWmpUNxFVS/N0WAu/DlZTmCfZ5NhnBW/jhwry
5SehwNhj5jEJAYO6v+9pT7wP0BvREGtH3saySb8Ng8GSvxg862SO3nJ0ukjdUn9kcGSERIMcK2Mb
1331vhJ3dsOCC7uLouhZ9xw5eH3jZU87IAlyN2hItGoTcx383+yTi3r9mBXK3XVtvFbcT9Opj9Ty
s5/t2g/nBNP1Ic+JQkKDmHnvqRtOaKMc4+YD6Hn+IQmhj+fApgMxdCepSAOa+oV3Zxo25hxbjxiN
IeUXup3PhjuN3WbEIRccah9lIUoNUgAmd9iGz2pWf2dSZ6Ho9HwIW7MPxIZ4UfZp1U7z7rYjSfC2
VauVvXe0u3dQh5KwzjPsYloyyx5EYzavXWZl+U34GFJ5S2wOndhEn7cNpq+7JJsR2GHwWAslNXpl
KzfzMB1FMRLeVObcYRttG3VPpRxlvmMVzPmWks3gQbWy+D4lcfI7MVS9bTozfY6FIhodFDaPG1nk
4KAhpGDxjGu5oxyHqGZcyfToVCbTkVHTh+QM7YRANEfFuR8HfKfuUJRdWNS6fjAzQQuDFSMTDn40
XcemtZetAfX/MJSJebIAk4It7QsnpCbPnaiys7OLrSxUFFFrm7CbnRwGqm24RcZUzXSsDlU3LJc5
axqIhWVFMUPrmEDEvDL7Ltu8whdp341TOlIFVfT8V4zz7VNTy+7NLtgQMqSYdhjPmgxwl8MY3NSI
RdsYDOuZr41bv5VspjBi6+4oPa6kKBneZraKDxYRmPi9NeyWtwGg/ioozok9MpyyuGlzcFSRa2Ix
XirOIYgryrrZ/vQkLKCLvokhpuBpwIMah2ZBoPaOSoxVWaEpCw6WvlVRP/x2ePgc7FgjvQZQsNVI
Oyh+5uMy2pDedNe92JNrH/3clXx1i6LAKWPRv5dCScBoNATX3sIRQLtOD/QUhf5sEUFn35L2LBms
hVAERHCI3Wk2XRa7ZXUX1+Y2GCI2sC4H+VpKiWPXmuJ6Dh0Ejp4QjhXlYYL6c+iyOciojGrz05KC
QKOyvDhPfNQuvq+zuyVInTuIC36Li7bv3uleCPBXVv4PD3dEtWIK2kenLPwbapk8ZlpXVug0Ebbe
yRA/Az4w24gCw6c2CwDGFEvq7MocxKvp6ubFrAigjT1vf02dzXuZ5CBdRpEvLO282NxYMpMPFeb6
H1ZKWGWnsB2HntLNGjCkJFy3WGNx0/6YYqu5ehDy7iu28SDc8ix+6NxO7uxaJojWf6giRWNr7lxC
ftLpCi4WbM704jkp4E53LONfUdImxBsNyN99I8uwKPkWwhbXFg9Q0kAfgzPLnRwgoRqOPZgcAFH8
IWm6IhyRDtOn4SXGZ97TCYHFIyNXiZ37kPiNpGDTs8+IUflv/r3qKuNu/h4sfUqRSTN3XM9ShQo+
KF8/B2xL4R90o5ttsaf7sCBILz75sfL3ZFXG14WRfi+hKnwFwuOq0XTAyza6i1iqRkpXKhStHR94
q8aLFZP23kI9VU8pG8KW68tKEdJLwUlFCEYXcMQTlbLLNvr60GusDqdGaTMGJUqYal9YifUA8QcY
ixzpVBAdssc+HcoBurzycbOnWCrvoAzBcq+dqdMEygNAJz4V7nbIbpBas2ge1ceoU5VtFdoLFIOl
iO5RwWmldRnrT3xCggXzcqq/4kTyUEPxs275IHn94dw64wavbX8UBEBeHSdpb7BKunyjmIdu2ewE
28Ea8J8KU96lnes/WqyAfqVW6xcbPgWV2PHcBT4hBdVXsOeV+42laIpjfOZKsBlVl1S7OF1ocrAM
RpgrNMYBWNzgOkdZiLqGZ+7AfiootICgw6NiuBdpRx0h70Ich1NQy4Nnaf9WFKJpt0sw+hAUgsL5
nZVGAKQf/N9L4BozLnTD/On7Rd9TuLfwJM9Zn620HZYtm7Zvp4Z4VUYAqdMJlpki/i3w1dz0gkI3
B42V7rlj4g92/HS3yFo99T7bG4XAd7EqWkL2M7e2bOtMltgFie9zTvU50AKvi76CsRU3s+KKsePW
GxihKgO32E2Nx+6J9bzxG9T+wh2tVyeUMAIFy9DWeyOqpp2SNl8Th+cyzusJ1H6bmfWXHbSNuGZD
XOyopAUC2IjpWpsFNuSqqUd6WhoVJRs+VSIk45dcI8S2k537FDqZJeuF2WPvxAQkIE4oTBlDKPkj
45cspTFzY7E9fm1G6cNCCqLid41yeiMzB7cPfjkqZNT2WyMzFlrvJ95kNbEetZXeUTFLAUBkcgOk
c0uZZIG13vULDcBRk+buxjXj5ispDHWXTwu9RJPF9tXQGNdnBwDuITJKOd0TBTeeB2PgT/GTzj39
D+bOrCmNLIrjX8XyYZ4GqvelZpKqMaKi0RDDTKbyQrXQQ6809ILAp5/fpWmlFY2xeYA3Azl97um7
nHuW/39MhIQrGXdOka8tBpcg1qbDZWQLbBbg+m85ueHVU+ElugJmaEJyXwqnpPoS9VyirQUoZTM4
o8Ns0RmnyqwDTku4ADjTXHW1gLaylgTeip20AGhZZsU1SmuX9KBJ/+IHzDpUWNKhJPtqi0UTJSfm
/WBF3RehQ1r7YLJcBGFxm2jgK53EKhEj2GQIm1Go63+lzynqyFN42050y9avpFjBndLDQUcxBnf4
qfa5xJrsJEVOYN22xz+UNM7vlhJZ9ZOWLw9Ox0sl/DHOEvPreCUTtON2EFzeJ/ATr1pxDJNAvugv
FoMedcCgvVMH8JV0GOtSWRAqHRj64tKaze8vtGk0vjKMaYjdDf/S8iCjoTve18+TUFK+z9IVPR6J
nxjCQ4/VM0+SSFmYZSH8OMCbDX3pTmeLufBxS0F4XgTZNWUI0AXNVS7HKYhpoEz4QX46VldRFyo2
nGhSsEkfcgTrDBfO6BnQDn3TVonahdqo1Usy2hPuqTSmujYw5v1ZawpoBTuv0jXGltUxF3Ovz9Ib
QEWm0HBqDYop2+OY8H9WzOm2iibgr9NA5gHg7xm9uQbr18nMspZ0LBhSeK231OLCoyb6xldWlJ0N
iF5/SaPZmByOBD8BjYlmdxCPl7AxFUH+jUJy/+8iKuY9wmz6kLUr92Qvtd0ZjXJnMCoNQD5TlrT4
te414ud5glcvh0GXbqng2pQkOg6kObGMOGe/osNKAe7NiqG3mRTeaTGJY7BLZ6COwAfWVabGlPSp
trhqRQw2NBECFs6EFsp8nABrRmb1e8pR5/E0kjOSRBeWLwHUCcyG1c+9ogXnd0F2FLKFewN+64AQ
v6osrhM4e4gr4rnonzTTm/TlWAaSSZsHvURT/jO5DIL1NQuz7HRB28VnQqwmAApa2pmHoTW5pYDs
/h+DQ5l3uZol1lkxT/JRSCD20+9czqPpYKJGF+pSx6OJ0sXiVDICCENXQNV8IZMOtklkB1JW9vjv
O4p47iY3Tuxmf9aihh/rf/4azMdGRRHV66yBIr8Wbrq8dcHCzR9iZ+LbXuJP8n7yvh9VQbndgo62
kZuH3NdyoQG0hZPtqCIe6ZMw5Fqltb6vSYic3M+LkfvhWCFaqCs6MUaa4cWH4l1A78ebr01bgH8Y
hADphxefkgxoy0Iv2eD14ZXGfP03tQE4IzjLBS5t6g/zbROQKdDeaIQnMraMYLR1yqAV1YINb/2p
G0FtC6AShS690kYEW6nZPiAjcBDKTwPSL8yEF40ga22TVIiikbRaf57MBKMtk6aQdQEFIz6l0Q/J
CCUQDqSYtYL6X7WDYrUNwvDcFIyddjDb1LKTo9Hl0g4HtyJMm8pRFdydZmZQ2oatmMBwMsDtHUFu
Q+VlGwC5l+Y5vHmgC9z5RoOXdYDsdV2mYal8yQjctoHdtg1dk0nVlF8fnA00mU6Qpkaw2xpYqgDm
2zsXAhuCZNmqsrGBwO0/rF0RZjmjVKoEFno4aZ+fjy/vinTWAB0jSQJleXsKWKDHmBLsBOW+e0j7
oCFbKhmvpqcigDYscUG88GTodhu4VQsSo82b5+sDe/HgXJdKvf/FK4J/UBSC8O7Xn/pxCEaQbhi4
TtahHofkk+Wms18Rng/7HLnm2uy3zLZtEvTSNoP/lbX/hpXy4GQDQhCN1u6172a7vPCXflB5ls+/
33iV3dGHY+E9134oeFLKZz963x9rW8Pa6dv6snIC18/Z/PfNAJ8/uvasalTVP174buqkQw+CSXzz
5UZNcbX5cAyGvJc6R73UGbmZt+390unH0fSo0IfjmrpbJ8Cr8rPMiSsxwjIi6V/9LUb1PrGQqTtp
JUaIpZYIt6SpthdOunQmTiVo/SbpUeK4ayzZj50hNDc7LQ3MHK5l00dcOiBdHf3mxNM/jq4casL9
moVwr4Vj3fQpV0464X4a1o1UXhIay2aeRk8Ea6Jmpangz06Yec7o3nWnlbD1uxX1LdU/vH8yXjsj
b7l7DYn6meYP+DLyUb+Ss15FXJr38DJ7xagYem6aLmvCDVXAMjY1eq+YBM5dJWetNZWye9D61gkc
YudOLV6xuaw3VfqbH4Z+bcNSJdDyqlG8f5L0ndiPjm6cUVHJEhbZ+JFNtV43c+/aWtTSXWkq/7ub
5Ucn7gRC5pr2pR/QVPq1w2bOhpWntTm+uWg0lX5eBEivBXYerrGNZSc1jYVcCnIrE71/snAqP/C6
3PjD5M5Jj7qZIMPOKuFi9hAzkWURomo6jr/SYvLy8USOhULjfWyU/ipJ6+4Aoul+EbG/pmPop6Sv
6zNoI3wPq3c3A0+ltHgX62epIHM2HshPeM9f5hd6iEu85pBdOxNhp0rNjeqURIuy06bv4GdUfg11
P3Ujz6+0fNRc28OKO31YbyRTdjxiD+fhJ4G14T8Djy1Di3uYN2+Bp234At4AGtLwCZccBS+Ckuzh
PtJ32UXHT338x7BG0xXw1vLshmbavR+9hxHsVUV23TcfshPPb6FV6mXXf6tfscUvhpHrpB//BwAA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396240</xdr:colOff>
      <xdr:row>5</xdr:row>
      <xdr:rowOff>91440</xdr:rowOff>
    </xdr:from>
    <xdr:to>
      <xdr:col>12</xdr:col>
      <xdr:colOff>91440</xdr:colOff>
      <xdr:row>21</xdr:row>
      <xdr:rowOff>167640</xdr:rowOff>
    </xdr:to>
    <xdr:graphicFrame macro="">
      <xdr:nvGraphicFramePr>
        <xdr:cNvPr id="3" name="Chart 2">
          <a:extLst>
            <a:ext uri="{FF2B5EF4-FFF2-40B4-BE49-F238E27FC236}">
              <a16:creationId xmlns:a16="http://schemas.microsoft.com/office/drawing/2014/main" id="{C858B249-E893-4671-9D98-A84FEFD43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373380</xdr:colOff>
      <xdr:row>14</xdr:row>
      <xdr:rowOff>30480</xdr:rowOff>
    </xdr:from>
    <xdr:to>
      <xdr:col>7</xdr:col>
      <xdr:colOff>426720</xdr:colOff>
      <xdr:row>29</xdr:row>
      <xdr:rowOff>30480</xdr:rowOff>
    </xdr:to>
    <xdr:graphicFrame macro="">
      <xdr:nvGraphicFramePr>
        <xdr:cNvPr id="3" name="Chart 2">
          <a:extLst>
            <a:ext uri="{FF2B5EF4-FFF2-40B4-BE49-F238E27FC236}">
              <a16:creationId xmlns:a16="http://schemas.microsoft.com/office/drawing/2014/main" id="{B3C93527-2FEA-4BDF-A5C6-B82463092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6</xdr:row>
      <xdr:rowOff>160020</xdr:rowOff>
    </xdr:from>
    <xdr:to>
      <xdr:col>5</xdr:col>
      <xdr:colOff>601980</xdr:colOff>
      <xdr:row>21</xdr:row>
      <xdr:rowOff>160020</xdr:rowOff>
    </xdr:to>
    <xdr:graphicFrame macro="">
      <xdr:nvGraphicFramePr>
        <xdr:cNvPr id="3" name="Chart 2">
          <a:extLst>
            <a:ext uri="{FF2B5EF4-FFF2-40B4-BE49-F238E27FC236}">
              <a16:creationId xmlns:a16="http://schemas.microsoft.com/office/drawing/2014/main" id="{86C6F4C9-0D42-4F59-91CC-06B3A1008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6</xdr:row>
      <xdr:rowOff>160020</xdr:rowOff>
    </xdr:from>
    <xdr:to>
      <xdr:col>4</xdr:col>
      <xdr:colOff>510540</xdr:colOff>
      <xdr:row>21</xdr:row>
      <xdr:rowOff>160020</xdr:rowOff>
    </xdr:to>
    <xdr:graphicFrame macro="">
      <xdr:nvGraphicFramePr>
        <xdr:cNvPr id="3" name="Chart 2">
          <a:extLst>
            <a:ext uri="{FF2B5EF4-FFF2-40B4-BE49-F238E27FC236}">
              <a16:creationId xmlns:a16="http://schemas.microsoft.com/office/drawing/2014/main" id="{DF3F55F3-D8C6-4BAF-9EDB-8797C527E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121920</xdr:colOff>
      <xdr:row>6</xdr:row>
      <xdr:rowOff>160020</xdr:rowOff>
    </xdr:from>
    <xdr:to>
      <xdr:col>4</xdr:col>
      <xdr:colOff>121920</xdr:colOff>
      <xdr:row>21</xdr:row>
      <xdr:rowOff>160020</xdr:rowOff>
    </xdr:to>
    <xdr:graphicFrame macro="">
      <xdr:nvGraphicFramePr>
        <xdr:cNvPr id="3" name="Chart 2">
          <a:extLst>
            <a:ext uri="{FF2B5EF4-FFF2-40B4-BE49-F238E27FC236}">
              <a16:creationId xmlns:a16="http://schemas.microsoft.com/office/drawing/2014/main" id="{44FDA7AB-4405-4A21-B3C9-9F69A9088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472440</xdr:colOff>
      <xdr:row>12</xdr:row>
      <xdr:rowOff>15240</xdr:rowOff>
    </xdr:from>
    <xdr:to>
      <xdr:col>7</xdr:col>
      <xdr:colOff>190500</xdr:colOff>
      <xdr:row>27</xdr:row>
      <xdr:rowOff>15240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DE5F762-6A58-41B5-B065-A9A2D9F91D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91640" y="2209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556260</xdr:colOff>
      <xdr:row>1</xdr:row>
      <xdr:rowOff>7620</xdr:rowOff>
    </xdr:from>
    <xdr:to>
      <xdr:col>13</xdr:col>
      <xdr:colOff>76200</xdr:colOff>
      <xdr:row>13</xdr:row>
      <xdr:rowOff>30480</xdr:rowOff>
    </xdr:to>
    <xdr:graphicFrame macro="">
      <xdr:nvGraphicFramePr>
        <xdr:cNvPr id="3" name="Chart 2">
          <a:extLst>
            <a:ext uri="{FF2B5EF4-FFF2-40B4-BE49-F238E27FC236}">
              <a16:creationId xmlns:a16="http://schemas.microsoft.com/office/drawing/2014/main" id="{37CE9A47-08DE-49B2-A395-61A0EBB20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167640</xdr:colOff>
      <xdr:row>1</xdr:row>
      <xdr:rowOff>7620</xdr:rowOff>
    </xdr:from>
    <xdr:to>
      <xdr:col>19</xdr:col>
      <xdr:colOff>579120</xdr:colOff>
      <xdr:row>13</xdr:row>
      <xdr:rowOff>91440</xdr:rowOff>
    </xdr:to>
    <xdr:graphicFrame macro="">
      <xdr:nvGraphicFramePr>
        <xdr:cNvPr id="4" name="Chart 3">
          <a:extLst>
            <a:ext uri="{FF2B5EF4-FFF2-40B4-BE49-F238E27FC236}">
              <a16:creationId xmlns:a16="http://schemas.microsoft.com/office/drawing/2014/main" id="{BA380AD9-3B91-4248-9351-EE1476192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277813</xdr:colOff>
      <xdr:row>14</xdr:row>
      <xdr:rowOff>23811</xdr:rowOff>
    </xdr:from>
    <xdr:to>
      <xdr:col>6</xdr:col>
      <xdr:colOff>404813</xdr:colOff>
      <xdr:row>29</xdr:row>
      <xdr:rowOff>7938</xdr:rowOff>
    </xdr:to>
    <xdr:graphicFrame macro="">
      <xdr:nvGraphicFramePr>
        <xdr:cNvPr id="6" name="Chart 5">
          <a:extLst>
            <a:ext uri="{FF2B5EF4-FFF2-40B4-BE49-F238E27FC236}">
              <a16:creationId xmlns:a16="http://schemas.microsoft.com/office/drawing/2014/main" id="{3F2C917B-DFFE-4DFE-968A-C08D85EB0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500062</xdr:colOff>
      <xdr:row>14</xdr:row>
      <xdr:rowOff>31749</xdr:rowOff>
    </xdr:from>
    <xdr:to>
      <xdr:col>13</xdr:col>
      <xdr:colOff>39687</xdr:colOff>
      <xdr:row>28</xdr:row>
      <xdr:rowOff>12699</xdr:rowOff>
    </xdr:to>
    <xdr:graphicFrame macro="">
      <xdr:nvGraphicFramePr>
        <xdr:cNvPr id="7" name="Chart 6">
          <a:extLst>
            <a:ext uri="{FF2B5EF4-FFF2-40B4-BE49-F238E27FC236}">
              <a16:creationId xmlns:a16="http://schemas.microsoft.com/office/drawing/2014/main" id="{9B3E6378-2B91-487B-8A3F-93E976E6B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238125</xdr:colOff>
      <xdr:row>14</xdr:row>
      <xdr:rowOff>39688</xdr:rowOff>
    </xdr:from>
    <xdr:to>
      <xdr:col>19</xdr:col>
      <xdr:colOff>563562</xdr:colOff>
      <xdr:row>28</xdr:row>
      <xdr:rowOff>20637</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DB283EF-6DE2-4483-BB18-200155A2E2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162925" y="2638108"/>
              <a:ext cx="3983037" cy="25412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50799</xdr:colOff>
      <xdr:row>1</xdr:row>
      <xdr:rowOff>4129</xdr:rowOff>
    </xdr:from>
    <xdr:to>
      <xdr:col>23</xdr:col>
      <xdr:colOff>55561</xdr:colOff>
      <xdr:row>9</xdr:row>
      <xdr:rowOff>7939</xdr:rowOff>
    </xdr:to>
    <mc:AlternateContent xmlns:mc="http://schemas.openxmlformats.org/markup-compatibility/2006">
      <mc:Choice xmlns:a14="http://schemas.microsoft.com/office/drawing/2010/main" Requires="a14">
        <xdr:graphicFrame macro="">
          <xdr:nvGraphicFramePr>
            <xdr:cNvPr id="5" name="transaction type">
              <a:extLst>
                <a:ext uri="{FF2B5EF4-FFF2-40B4-BE49-F238E27FC236}">
                  <a16:creationId xmlns:a16="http://schemas.microsoft.com/office/drawing/2014/main" id="{10217E70-6DE7-4304-8357-F5FC056263C9}"/>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dr:sp macro="" textlink="">
          <xdr:nvSpPr>
            <xdr:cNvPr id="0" name=""/>
            <xdr:cNvSpPr>
              <a:spLocks noTextEdit="1"/>
            </xdr:cNvSpPr>
          </xdr:nvSpPr>
          <xdr:spPr>
            <a:xfrm>
              <a:off x="12274549" y="226379"/>
              <a:ext cx="1838325" cy="1464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94298</xdr:colOff>
      <xdr:row>18</xdr:row>
      <xdr:rowOff>39687</xdr:rowOff>
    </xdr:from>
    <xdr:to>
      <xdr:col>23</xdr:col>
      <xdr:colOff>89535</xdr:colOff>
      <xdr:row>31</xdr:row>
      <xdr:rowOff>133350</xdr:rowOff>
    </xdr:to>
    <mc:AlternateContent xmlns:mc="http://schemas.openxmlformats.org/markup-compatibility/2006">
      <mc:Choice xmlns:a14="http://schemas.microsoft.com/office/drawing/2010/main" Requires="a14">
        <xdr:graphicFrame macro="">
          <xdr:nvGraphicFramePr>
            <xdr:cNvPr id="8" name="merchant_category">
              <a:extLst>
                <a:ext uri="{FF2B5EF4-FFF2-40B4-BE49-F238E27FC236}">
                  <a16:creationId xmlns:a16="http://schemas.microsoft.com/office/drawing/2014/main" id="{D7E5A4BA-737A-46ED-9828-1D12F0AC9DF6}"/>
                </a:ext>
              </a:extLst>
            </xdr:cNvPr>
            <xdr:cNvGraphicFramePr/>
          </xdr:nvGraphicFramePr>
          <xdr:xfrm>
            <a:off x="0" y="0"/>
            <a:ext cx="0" cy="0"/>
          </xdr:xfrm>
          <a:graphic>
            <a:graphicData uri="http://schemas.microsoft.com/office/drawing/2010/slicer">
              <sle:slicer xmlns:sle="http://schemas.microsoft.com/office/drawing/2010/slicer" name="merchant_category"/>
            </a:graphicData>
          </a:graphic>
        </xdr:graphicFrame>
      </mc:Choice>
      <mc:Fallback>
        <xdr:sp macro="" textlink="">
          <xdr:nvSpPr>
            <xdr:cNvPr id="0" name=""/>
            <xdr:cNvSpPr>
              <a:spLocks noTextEdit="1"/>
            </xdr:cNvSpPr>
          </xdr:nvSpPr>
          <xdr:spPr>
            <a:xfrm>
              <a:off x="12318048" y="3365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74295</xdr:colOff>
      <xdr:row>9</xdr:row>
      <xdr:rowOff>43498</xdr:rowOff>
    </xdr:from>
    <xdr:to>
      <xdr:col>23</xdr:col>
      <xdr:colOff>15875</xdr:colOff>
      <xdr:row>18</xdr:row>
      <xdr:rowOff>95250</xdr:rowOff>
    </xdr:to>
    <mc:AlternateContent xmlns:mc="http://schemas.openxmlformats.org/markup-compatibility/2006">
      <mc:Choice xmlns:a14="http://schemas.microsoft.com/office/drawing/2010/main" Requires="a14">
        <xdr:graphicFrame macro="">
          <xdr:nvGraphicFramePr>
            <xdr:cNvPr id="10" name="sender_age_group">
              <a:extLst>
                <a:ext uri="{FF2B5EF4-FFF2-40B4-BE49-F238E27FC236}">
                  <a16:creationId xmlns:a16="http://schemas.microsoft.com/office/drawing/2014/main" id="{7EAD5FF7-8881-4FA8-9595-4F25E1BB71AF}"/>
                </a:ext>
              </a:extLst>
            </xdr:cNvPr>
            <xdr:cNvGraphicFramePr/>
          </xdr:nvGraphicFramePr>
          <xdr:xfrm>
            <a:off x="0" y="0"/>
            <a:ext cx="0" cy="0"/>
          </xdr:xfrm>
          <a:graphic>
            <a:graphicData uri="http://schemas.microsoft.com/office/drawing/2010/slicer">
              <sle:slicer xmlns:sle="http://schemas.microsoft.com/office/drawing/2010/slicer" name="sender_age_group"/>
            </a:graphicData>
          </a:graphic>
        </xdr:graphicFrame>
      </mc:Choice>
      <mc:Fallback>
        <xdr:sp macro="" textlink="">
          <xdr:nvSpPr>
            <xdr:cNvPr id="0" name=""/>
            <xdr:cNvSpPr>
              <a:spLocks noTextEdit="1"/>
            </xdr:cNvSpPr>
          </xdr:nvSpPr>
          <xdr:spPr>
            <a:xfrm>
              <a:off x="12298045" y="1726248"/>
              <a:ext cx="1775143" cy="1694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246061</xdr:colOff>
      <xdr:row>1</xdr:row>
      <xdr:rowOff>15876</xdr:rowOff>
    </xdr:from>
    <xdr:to>
      <xdr:col>6</xdr:col>
      <xdr:colOff>357188</xdr:colOff>
      <xdr:row>13</xdr:row>
      <xdr:rowOff>23813</xdr:rowOff>
    </xdr:to>
    <xdr:graphicFrame macro="">
      <xdr:nvGraphicFramePr>
        <xdr:cNvPr id="13" name="Chart 12">
          <a:extLst>
            <a:ext uri="{FF2B5EF4-FFF2-40B4-BE49-F238E27FC236}">
              <a16:creationId xmlns:a16="http://schemas.microsoft.com/office/drawing/2014/main" id="{29F69AD7-DFAC-40D9-86BE-0F45E61D1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elu K" refreshedDate="46007.897493055556" createdVersion="6" refreshedVersion="6" minRefreshableVersion="3" recordCount="150" xr:uid="{A8BAEE8B-F2AB-4BFB-AA4D-56C64EAF792E}">
  <cacheSource type="worksheet">
    <worksheetSource ref="A1:R1048576" sheet="data"/>
  </cacheSource>
  <cacheFields count="17">
    <cacheField name="transaction id" numFmtId="0">
      <sharedItems containsBlank="1"/>
    </cacheField>
    <cacheField name="timestamp" numFmtId="0">
      <sharedItems containsNonDate="0" containsDate="1" containsString="0" containsBlank="1" minDate="2024-01-03T10:03:00" maxDate="2024-12-28T10:47:00"/>
    </cacheField>
    <cacheField name="transaction type" numFmtId="0">
      <sharedItems containsBlank="1"/>
    </cacheField>
    <cacheField name="merchant_category" numFmtId="0">
      <sharedItems containsBlank="1"/>
    </cacheField>
    <cacheField name="amount (INR)" numFmtId="0">
      <sharedItems containsString="0" containsBlank="1" containsNumber="1" containsInteger="1" minValue="36" maxValue="8754"/>
    </cacheField>
    <cacheField name="transaction_status" numFmtId="0">
      <sharedItems containsBlank="1"/>
    </cacheField>
    <cacheField name="sender_age_group" numFmtId="0">
      <sharedItems containsBlank="1"/>
    </cacheField>
    <cacheField name="receiver_age_group" numFmtId="0">
      <sharedItems containsBlank="1"/>
    </cacheField>
    <cacheField name="sender_state" numFmtId="0">
      <sharedItems containsBlank="1"/>
    </cacheField>
    <cacheField name="sender_bank" numFmtId="0">
      <sharedItems containsBlank="1"/>
    </cacheField>
    <cacheField name="receiver_bank" numFmtId="0">
      <sharedItems containsBlank="1"/>
    </cacheField>
    <cacheField name="device_type" numFmtId="0">
      <sharedItems containsBlank="1"/>
    </cacheField>
    <cacheField name="network_type" numFmtId="0">
      <sharedItems containsBlank="1"/>
    </cacheField>
    <cacheField name="fraud_flag" numFmtId="0">
      <sharedItems containsString="0" containsBlank="1" containsNumber="1" containsInteger="1" minValue="0" maxValue="0"/>
    </cacheField>
    <cacheField name="hour_of_day" numFmtId="0">
      <sharedItems containsString="0" containsBlank="1" containsNumber="1" containsInteger="1" minValue="0" maxValue="23"/>
    </cacheField>
    <cacheField name="day_of_week" numFmtId="0">
      <sharedItems containsBlank="1"/>
    </cacheField>
    <cacheField name="is_weekend"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elu K" refreshedDate="46008.395337731483" createdVersion="6" refreshedVersion="6" minRefreshableVersion="3" recordCount="149" xr:uid="{A4118543-1917-4F89-83B9-29C766438418}">
  <cacheSource type="worksheet">
    <worksheetSource ref="A1:R150" sheet="data"/>
  </cacheSource>
  <cacheFields count="18">
    <cacheField name="transaction id" numFmtId="0">
      <sharedItems/>
    </cacheField>
    <cacheField name="timestamp" numFmtId="22">
      <sharedItems containsSemiMixedTypes="0" containsNonDate="0" containsDate="1" containsString="0" minDate="2024-01-03T10:03:00" maxDate="2024-12-28T10:47:00"/>
    </cacheField>
    <cacheField name="transaction type" numFmtId="0">
      <sharedItems count="4">
        <s v="P2P"/>
        <s v="P2M"/>
        <s v="Bill Payment"/>
        <s v="Recharge"/>
      </sharedItems>
    </cacheField>
    <cacheField name="merchant_category" numFmtId="0">
      <sharedItems count="10">
        <s v="Entertainment"/>
        <s v="Grocery"/>
        <s v="Fuel"/>
        <s v="Shopping"/>
        <s v="Food"/>
        <s v="Other"/>
        <s v="Utilities"/>
        <s v="Transport"/>
        <s v="Healthcare"/>
        <s v="Education"/>
      </sharedItems>
    </cacheField>
    <cacheField name="amount (INR)" numFmtId="0">
      <sharedItems containsSemiMixedTypes="0" containsString="0" containsNumber="1" containsInteger="1" minValue="36" maxValue="8754"/>
    </cacheField>
    <cacheField name="transaction_status" numFmtId="0">
      <sharedItems/>
    </cacheField>
    <cacheField name="sender_age_group" numFmtId="0">
      <sharedItems count="5">
        <s v="26-35"/>
        <s v="36-45"/>
        <s v="46-55"/>
        <s v="56+"/>
        <s v="18-25"/>
      </sharedItems>
    </cacheField>
    <cacheField name="receiver_age_group" numFmtId="0">
      <sharedItems/>
    </cacheField>
    <cacheField name="Country" numFmtId="0">
      <sharedItems count="1">
        <s v="India"/>
      </sharedItems>
    </cacheField>
    <cacheField name="sender_state" numFmtId="0">
      <sharedItems count="10">
        <s v="Delhi"/>
        <s v="Uttar Pradesh"/>
        <s v="Karnataka"/>
        <s v="Telangana"/>
        <s v="Maharashtra"/>
        <s v="Gujarat"/>
        <s v="Rajasthan"/>
        <s v="Tamil Nadu"/>
        <s v="West Bengal"/>
        <s v="Andhra Pradesh"/>
      </sharedItems>
    </cacheField>
    <cacheField name="sender_bank" numFmtId="0">
      <sharedItems count="8">
        <s v="Axis"/>
        <s v="ICICI"/>
        <s v="Yes Bank"/>
        <s v="IndusInd"/>
        <s v="HDFC"/>
        <s v="Kotak"/>
        <s v="SBI"/>
        <s v="PNB"/>
      </sharedItems>
    </cacheField>
    <cacheField name="receiver_bank" numFmtId="0">
      <sharedItems/>
    </cacheField>
    <cacheField name="device_type" numFmtId="0">
      <sharedItems/>
    </cacheField>
    <cacheField name="network_type" numFmtId="0">
      <sharedItems/>
    </cacheField>
    <cacheField name="fraud_flag" numFmtId="0">
      <sharedItems containsSemiMixedTypes="0" containsString="0" containsNumber="1" containsInteger="1" minValue="0" maxValue="0"/>
    </cacheField>
    <cacheField name="hour_of_day" numFmtId="0">
      <sharedItems containsSemiMixedTypes="0" containsString="0" containsNumber="1" containsInteger="1" minValue="0" maxValue="23" count="22">
        <n v="15"/>
        <n v="6"/>
        <n v="13"/>
        <n v="10"/>
        <n v="19"/>
        <n v="22"/>
        <n v="18"/>
        <n v="9"/>
        <n v="20"/>
        <n v="0"/>
        <n v="12"/>
        <n v="7"/>
        <n v="17"/>
        <n v="4"/>
        <n v="21"/>
        <n v="16"/>
        <n v="1"/>
        <n v="14"/>
        <n v="5"/>
        <n v="8"/>
        <n v="11"/>
        <n v="23"/>
      </sharedItems>
    </cacheField>
    <cacheField name="day_of_week" numFmtId="0">
      <sharedItems/>
    </cacheField>
    <cacheField name="is_weeken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065828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XN0000000001"/>
    <d v="2024-10-08T15:17:00"/>
    <s v="P2P"/>
    <s v="Entertainment"/>
    <n v="868"/>
    <s v="SUCCESS"/>
    <s v="26-35"/>
    <s v="18-25"/>
    <s v="Delhi"/>
    <s v="Axis"/>
    <s v="SBI"/>
    <s v="Android"/>
    <s v="4G"/>
    <n v="0"/>
    <n v="15"/>
    <s v="Tuesday"/>
    <n v="0"/>
  </r>
  <r>
    <s v="TXN0000000002"/>
    <d v="2024-04-11T06:56:00"/>
    <s v="P2M"/>
    <s v="Grocery"/>
    <n v="1011"/>
    <s v="SUCCESS"/>
    <s v="26-35"/>
    <s v="26-35"/>
    <s v="Uttar Pradesh"/>
    <s v="ICICI"/>
    <s v="Axis"/>
    <s v="iOS"/>
    <s v="4G"/>
    <n v="0"/>
    <n v="6"/>
    <s v="Thursday"/>
    <n v="0"/>
  </r>
  <r>
    <s v="TXN0000000003"/>
    <d v="2024-04-02T13:27:00"/>
    <s v="P2P"/>
    <s v="Grocery"/>
    <n v="477"/>
    <s v="SUCCESS"/>
    <s v="26-35"/>
    <s v="36-45"/>
    <s v="Karnataka"/>
    <s v="Yes Bank"/>
    <s v="PNB"/>
    <s v="Android"/>
    <s v="4G"/>
    <n v="0"/>
    <n v="13"/>
    <s v="Tuesday"/>
    <n v="0"/>
  </r>
  <r>
    <s v="TXN0000000004"/>
    <d v="2024-01-07T10:09:00"/>
    <s v="P2P"/>
    <s v="Fuel"/>
    <n v="2784"/>
    <s v="SUCCESS"/>
    <s v="26-35"/>
    <s v="26-35"/>
    <s v="Delhi"/>
    <s v="ICICI"/>
    <s v="PNB"/>
    <s v="Android"/>
    <s v="5G"/>
    <n v="0"/>
    <n v="10"/>
    <s v="Sunday"/>
    <n v="1"/>
  </r>
  <r>
    <s v="TXN0000000005"/>
    <d v="2024-01-23T19:04:00"/>
    <s v="P2P"/>
    <s v="Shopping"/>
    <n v="990"/>
    <s v="SUCCESS"/>
    <s v="26-35"/>
    <s v="18-25"/>
    <s v="Delhi"/>
    <s v="Axis"/>
    <s v="Yes Bank"/>
    <s v="iOS"/>
    <s v="WiFi"/>
    <n v="0"/>
    <n v="19"/>
    <s v="Tuesday"/>
    <n v="0"/>
  </r>
  <r>
    <s v="TXN0000000006"/>
    <d v="2024-10-07T22:32:00"/>
    <s v="P2P"/>
    <s v="Food"/>
    <n v="91"/>
    <s v="SUCCESS"/>
    <s v="36-45"/>
    <s v="18-25"/>
    <s v="Karnataka"/>
    <s v="IndusInd"/>
    <s v="Yes Bank"/>
    <s v="Android"/>
    <s v="3G"/>
    <n v="0"/>
    <n v="22"/>
    <s v="Monday"/>
    <n v="0"/>
  </r>
  <r>
    <s v="TXN0000000007"/>
    <d v="2024-02-08T10:25:00"/>
    <s v="P2P"/>
    <s v="Other"/>
    <n v="314"/>
    <s v="SUCCESS"/>
    <s v="36-45"/>
    <s v="18-25"/>
    <s v="Telangana"/>
    <s v="HDFC"/>
    <s v="IndusInd"/>
    <s v="Android"/>
    <s v="4G"/>
    <n v="0"/>
    <n v="10"/>
    <s v="Thursday"/>
    <n v="0"/>
  </r>
  <r>
    <s v="TXN0000000008"/>
    <d v="2024-10-27T18:47:00"/>
    <s v="P2P"/>
    <s v="Utilities"/>
    <n v="264"/>
    <s v="SUCCESS"/>
    <s v="46-55"/>
    <s v="36-45"/>
    <s v="Maharashtra"/>
    <s v="Yes Bank"/>
    <s v="SBI"/>
    <s v="Android"/>
    <s v="5G"/>
    <n v="0"/>
    <n v="18"/>
    <s v="Sunday"/>
    <n v="1"/>
  </r>
  <r>
    <s v="TXN0000000009"/>
    <d v="2024-11-21T09:39:00"/>
    <s v="P2P"/>
    <s v="Other"/>
    <n v="887"/>
    <s v="SUCCESS"/>
    <s v="46-55"/>
    <s v="36-45"/>
    <s v="Maharashtra"/>
    <s v="Kotak"/>
    <s v="HDFC"/>
    <s v="Android"/>
    <s v="4G"/>
    <n v="0"/>
    <n v="9"/>
    <s v="Thursday"/>
    <n v="0"/>
  </r>
  <r>
    <s v="TXN0000000010"/>
    <d v="2024-11-11T15:58:00"/>
    <s v="P2M"/>
    <s v="Grocery"/>
    <n v="3260"/>
    <s v="SUCCESS"/>
    <s v="46-55"/>
    <s v="18-25"/>
    <s v="Delhi"/>
    <s v="SBI"/>
    <s v="HDFC"/>
    <s v="Android"/>
    <s v="4G"/>
    <n v="0"/>
    <n v="15"/>
    <s v="Monday"/>
    <n v="0"/>
  </r>
  <r>
    <s v="TXN0000000011"/>
    <d v="2024-04-07T20:14:00"/>
    <s v="P2P"/>
    <s v="Food"/>
    <n v="587"/>
    <s v="SUCCESS"/>
    <s v="26-35"/>
    <s v="46-55"/>
    <s v="Karnataka"/>
    <s v="SBI"/>
    <s v="SBI"/>
    <s v="Android"/>
    <s v="4G"/>
    <n v="0"/>
    <n v="20"/>
    <s v="Sunday"/>
    <n v="1"/>
  </r>
  <r>
    <s v="TXN0000000012"/>
    <d v="2024-12-24T10:44:00"/>
    <s v="P2M"/>
    <s v="Other"/>
    <n v="518"/>
    <s v="SUCCESS"/>
    <s v="26-35"/>
    <s v="18-25"/>
    <s v="Gujarat"/>
    <s v="Yes Bank"/>
    <s v="SBI"/>
    <s v="Android"/>
    <s v="4G"/>
    <n v="0"/>
    <n v="10"/>
    <s v="Tuesday"/>
    <n v="0"/>
  </r>
  <r>
    <s v="TXN0000000013"/>
    <d v="2024-11-16T20:09:00"/>
    <s v="P2P"/>
    <s v="Transport"/>
    <n v="73"/>
    <s v="SUCCESS"/>
    <s v="26-35"/>
    <s v="18-25"/>
    <s v="Uttar Pradesh"/>
    <s v="Axis"/>
    <s v="Kotak"/>
    <s v="Android"/>
    <s v="4G"/>
    <n v="0"/>
    <n v="20"/>
    <s v="Saturday"/>
    <n v="1"/>
  </r>
  <r>
    <s v="TXN0000000014"/>
    <d v="2024-04-10T00:51:00"/>
    <s v="Bill Payment"/>
    <s v="Grocery"/>
    <n v="430"/>
    <s v="SUCCESS"/>
    <s v="56+"/>
    <s v="36-45"/>
    <s v="Gujarat"/>
    <s v="Yes Bank"/>
    <s v="Yes Bank"/>
    <s v="Android"/>
    <s v="4G"/>
    <n v="0"/>
    <n v="0"/>
    <s v="Wednesday"/>
    <n v="0"/>
  </r>
  <r>
    <s v="TXN0000000015"/>
    <d v="2024-02-03T12:35:00"/>
    <s v="P2P"/>
    <s v="Transport"/>
    <n v="544"/>
    <s v="SUCCESS"/>
    <s v="18-25"/>
    <s v="46-55"/>
    <s v="Uttar Pradesh"/>
    <s v="IndusInd"/>
    <s v="Axis"/>
    <s v="Android"/>
    <s v="5G"/>
    <n v="0"/>
    <n v="12"/>
    <s v="Saturday"/>
    <n v="1"/>
  </r>
  <r>
    <s v="TXN0000000016"/>
    <d v="2024-11-09T15:21:00"/>
    <s v="P2M"/>
    <s v="Grocery"/>
    <n v="1346"/>
    <s v="SUCCESS"/>
    <s v="18-25"/>
    <s v="18-25"/>
    <s v="Rajasthan"/>
    <s v="SBI"/>
    <s v="SBI"/>
    <s v="Android"/>
    <s v="5G"/>
    <n v="0"/>
    <n v="15"/>
    <s v="Saturday"/>
    <n v="1"/>
  </r>
  <r>
    <s v="TXN0000000017"/>
    <d v="2024-01-25T07:27:00"/>
    <s v="P2P"/>
    <s v="Food"/>
    <n v="171"/>
    <s v="SUCCESS"/>
    <s v="46-55"/>
    <s v="18-25"/>
    <s v="Delhi"/>
    <s v="HDFC"/>
    <s v="SBI"/>
    <s v="Android"/>
    <s v="5G"/>
    <n v="0"/>
    <n v="7"/>
    <s v="Thursday"/>
    <n v="0"/>
  </r>
  <r>
    <s v="TXN0000000018"/>
    <d v="2024-05-19T18:38:00"/>
    <s v="P2M"/>
    <s v="Healthcare"/>
    <n v="189"/>
    <s v="SUCCESS"/>
    <s v="18-25"/>
    <s v="18-25"/>
    <s v="Gujarat"/>
    <s v="SBI"/>
    <s v="PNB"/>
    <s v="iOS"/>
    <s v="5G"/>
    <n v="0"/>
    <n v="18"/>
    <s v="Sunday"/>
    <n v="1"/>
  </r>
  <r>
    <s v="TXN0000000019"/>
    <d v="2024-11-11T22:08:00"/>
    <s v="P2P"/>
    <s v="Healthcare"/>
    <n v="799"/>
    <s v="SUCCESS"/>
    <s v="26-35"/>
    <s v="18-25"/>
    <s v="Karnataka"/>
    <s v="ICICI"/>
    <s v="SBI"/>
    <s v="Android"/>
    <s v="4G"/>
    <n v="0"/>
    <n v="22"/>
    <s v="Monday"/>
    <n v="0"/>
  </r>
  <r>
    <s v="TXN0000000020"/>
    <d v="2024-06-13T18:25:00"/>
    <s v="P2P"/>
    <s v="Utilities"/>
    <n v="450"/>
    <s v="SUCCESS"/>
    <s v="26-35"/>
    <s v="36-45"/>
    <s v="Tamil Nadu"/>
    <s v="Yes Bank"/>
    <s v="IndusInd"/>
    <s v="iOS"/>
    <s v="WiFi"/>
    <n v="0"/>
    <n v="18"/>
    <s v="Thursday"/>
    <n v="0"/>
  </r>
  <r>
    <s v="TXN0000000021"/>
    <d v="2024-05-19T10:41:00"/>
    <s v="Bill Payment"/>
    <s v="Food"/>
    <n v="1341"/>
    <s v="SUCCESS"/>
    <s v="36-45"/>
    <s v="26-35"/>
    <s v="Karnataka"/>
    <s v="SBI"/>
    <s v="ICICI"/>
    <s v="Android"/>
    <s v="WiFi"/>
    <n v="0"/>
    <n v="10"/>
    <s v="Sunday"/>
    <n v="1"/>
  </r>
  <r>
    <s v="TXN0000000022"/>
    <d v="2024-11-02T17:13:00"/>
    <s v="Recharge"/>
    <s v="Entertainment"/>
    <n v="280"/>
    <s v="SUCCESS"/>
    <s v="26-35"/>
    <s v="26-35"/>
    <s v="Maharashtra"/>
    <s v="SBI"/>
    <s v="PNB"/>
    <s v="Android"/>
    <s v="4G"/>
    <n v="0"/>
    <n v="17"/>
    <s v="Saturday"/>
    <n v="1"/>
  </r>
  <r>
    <s v="TXN0000000023"/>
    <d v="2024-10-18T04:35:00"/>
    <s v="P2P"/>
    <s v="Shopping"/>
    <n v="397"/>
    <s v="SUCCESS"/>
    <s v="18-25"/>
    <s v="26-35"/>
    <s v="Delhi"/>
    <s v="Axis"/>
    <s v="SBI"/>
    <s v="Android"/>
    <s v="5G"/>
    <n v="0"/>
    <n v="4"/>
    <s v="Friday"/>
    <n v="0"/>
  </r>
  <r>
    <s v="TXN0000000024"/>
    <d v="2024-01-21T07:57:00"/>
    <s v="P2M"/>
    <s v="Grocery"/>
    <n v="1847"/>
    <s v="SUCCESS"/>
    <s v="18-25"/>
    <s v="46-55"/>
    <s v="Gujarat"/>
    <s v="HDFC"/>
    <s v="Yes Bank"/>
    <s v="Android"/>
    <s v="5G"/>
    <n v="0"/>
    <n v="7"/>
    <s v="Sunday"/>
    <n v="1"/>
  </r>
  <r>
    <s v="TXN0000000025"/>
    <d v="2024-01-24T10:43:00"/>
    <s v="Bill Payment"/>
    <s v="Grocery"/>
    <n v="690"/>
    <s v="SUCCESS"/>
    <s v="26-35"/>
    <s v="26-35"/>
    <s v="Tamil Nadu"/>
    <s v="Yes Bank"/>
    <s v="PNB"/>
    <s v="iOS"/>
    <s v="5G"/>
    <n v="0"/>
    <n v="10"/>
    <s v="Wednesday"/>
    <n v="0"/>
  </r>
  <r>
    <s v="TXN0000000026"/>
    <d v="2024-07-01T12:01:00"/>
    <s v="Bill Payment"/>
    <s v="Entertainment"/>
    <n v="218"/>
    <s v="SUCCESS"/>
    <s v="18-25"/>
    <s v="36-45"/>
    <s v="Karnataka"/>
    <s v="Axis"/>
    <s v="Yes Bank"/>
    <s v="Android"/>
    <s v="4G"/>
    <n v="0"/>
    <n v="12"/>
    <s v="Monday"/>
    <n v="0"/>
  </r>
  <r>
    <s v="TXN0000000027"/>
    <d v="2024-08-28T21:10:00"/>
    <s v="P2P"/>
    <s v="Food"/>
    <n v="1276"/>
    <s v="SUCCESS"/>
    <s v="18-25"/>
    <s v="18-25"/>
    <s v="Karnataka"/>
    <s v="Kotak"/>
    <s v="HDFC"/>
    <s v="Android"/>
    <s v="5G"/>
    <n v="0"/>
    <n v="21"/>
    <s v="Wednesday"/>
    <n v="0"/>
  </r>
  <r>
    <s v="TXN0000000028"/>
    <d v="2024-11-09T18:49:00"/>
    <s v="P2P"/>
    <s v="Grocery"/>
    <n v="146"/>
    <s v="SUCCESS"/>
    <s v="26-35"/>
    <s v="36-45"/>
    <s v="Delhi"/>
    <s v="PNB"/>
    <s v="HDFC"/>
    <s v="iOS"/>
    <s v="4G"/>
    <n v="0"/>
    <n v="18"/>
    <s v="Saturday"/>
    <n v="1"/>
  </r>
  <r>
    <s v="TXN0000000029"/>
    <d v="2024-09-09T15:24:00"/>
    <s v="P2P"/>
    <s v="Grocery"/>
    <n v="1755"/>
    <s v="SUCCESS"/>
    <s v="36-45"/>
    <s v="36-45"/>
    <s v="Delhi"/>
    <s v="SBI"/>
    <s v="IndusInd"/>
    <s v="Web"/>
    <s v="WiFi"/>
    <n v="0"/>
    <n v="15"/>
    <s v="Monday"/>
    <n v="0"/>
  </r>
  <r>
    <s v="TXN0000000030"/>
    <d v="2024-10-18T17:43:00"/>
    <s v="Bill Payment"/>
    <s v="Transport"/>
    <n v="165"/>
    <s v="SUCCESS"/>
    <s v="18-25"/>
    <s v="26-35"/>
    <s v="Rajasthan"/>
    <s v="SBI"/>
    <s v="SBI"/>
    <s v="Android"/>
    <s v="4G"/>
    <n v="0"/>
    <n v="17"/>
    <s v="Friday"/>
    <n v="0"/>
  </r>
  <r>
    <s v="TXN0000000031"/>
    <d v="2024-12-20T16:15:00"/>
    <s v="P2P"/>
    <s v="Healthcare"/>
    <n v="1495"/>
    <s v="SUCCESS"/>
    <s v="26-35"/>
    <s v="36-45"/>
    <s v="Gujarat"/>
    <s v="SBI"/>
    <s v="HDFC"/>
    <s v="Android"/>
    <s v="4G"/>
    <n v="0"/>
    <n v="16"/>
    <s v="Friday"/>
    <n v="0"/>
  </r>
  <r>
    <s v="TXN0000000032"/>
    <d v="2024-12-17T16:45:00"/>
    <s v="P2P"/>
    <s v="Grocery"/>
    <n v="394"/>
    <s v="SUCCESS"/>
    <s v="18-25"/>
    <s v="18-25"/>
    <s v="Gujarat"/>
    <s v="Yes Bank"/>
    <s v="SBI"/>
    <s v="Android"/>
    <s v="5G"/>
    <n v="0"/>
    <n v="16"/>
    <s v="Tuesday"/>
    <n v="0"/>
  </r>
  <r>
    <s v="TXN0000000033"/>
    <d v="2024-05-11T16:47:00"/>
    <s v="Recharge"/>
    <s v="Shopping"/>
    <n v="1693"/>
    <s v="SUCCESS"/>
    <s v="26-35"/>
    <s v="36-45"/>
    <s v="Telangana"/>
    <s v="SBI"/>
    <s v="IndusInd"/>
    <s v="Android"/>
    <s v="5G"/>
    <n v="0"/>
    <n v="16"/>
    <s v="Saturday"/>
    <n v="1"/>
  </r>
  <r>
    <s v="TXN0000000034"/>
    <d v="2024-05-25T13:30:00"/>
    <s v="P2M"/>
    <s v="Food"/>
    <n v="144"/>
    <s v="SUCCESS"/>
    <s v="18-25"/>
    <s v="36-45"/>
    <s v="Maharashtra"/>
    <s v="PNB"/>
    <s v="PNB"/>
    <s v="Android"/>
    <s v="WiFi"/>
    <n v="0"/>
    <n v="13"/>
    <s v="Saturday"/>
    <n v="1"/>
  </r>
  <r>
    <s v="TXN0000000035"/>
    <d v="2024-02-23T07:27:00"/>
    <s v="P2M"/>
    <s v="Fuel"/>
    <n v="1804"/>
    <s v="SUCCESS"/>
    <s v="36-45"/>
    <s v="26-35"/>
    <s v="Telangana"/>
    <s v="Axis"/>
    <s v="SBI"/>
    <s v="Android"/>
    <s v="4G"/>
    <n v="0"/>
    <n v="7"/>
    <s v="Friday"/>
    <n v="0"/>
  </r>
  <r>
    <s v="TXN0000000036"/>
    <d v="2024-04-19T22:12:00"/>
    <s v="P2P"/>
    <s v="Fuel"/>
    <n v="721"/>
    <s v="SUCCESS"/>
    <s v="46-55"/>
    <s v="18-25"/>
    <s v="Gujarat"/>
    <s v="HDFC"/>
    <s v="ICICI"/>
    <s v="Android"/>
    <s v="3G"/>
    <n v="0"/>
    <n v="22"/>
    <s v="Friday"/>
    <n v="0"/>
  </r>
  <r>
    <s v="TXN0000000037"/>
    <d v="2024-07-26T17:09:00"/>
    <s v="P2M"/>
    <s v="Shopping"/>
    <n v="7987"/>
    <s v="SUCCESS"/>
    <s v="18-25"/>
    <s v="36-45"/>
    <s v="Maharashtra"/>
    <s v="IndusInd"/>
    <s v="IndusInd"/>
    <s v="Android"/>
    <s v="4G"/>
    <n v="0"/>
    <n v="17"/>
    <s v="Friday"/>
    <n v="0"/>
  </r>
  <r>
    <s v="TXN0000000038"/>
    <d v="2024-08-16T21:26:00"/>
    <s v="Bill Payment"/>
    <s v="Shopping"/>
    <n v="5154"/>
    <s v="SUCCESS"/>
    <s v="56+"/>
    <s v="36-45"/>
    <s v="Uttar Pradesh"/>
    <s v="ICICI"/>
    <s v="SBI"/>
    <s v="Web"/>
    <s v="5G"/>
    <n v="0"/>
    <n v="21"/>
    <s v="Friday"/>
    <n v="0"/>
  </r>
  <r>
    <s v="TXN0000000039"/>
    <d v="2024-07-23T17:02:00"/>
    <s v="P2P"/>
    <s v="Entertainment"/>
    <n v="131"/>
    <s v="SUCCESS"/>
    <s v="36-45"/>
    <s v="18-25"/>
    <s v="West Bengal"/>
    <s v="Yes Bank"/>
    <s v="SBI"/>
    <s v="Web"/>
    <s v="5G"/>
    <n v="0"/>
    <n v="17"/>
    <s v="Tuesday"/>
    <n v="0"/>
  </r>
  <r>
    <s v="TXN0000000040"/>
    <d v="2024-02-27T01:43:00"/>
    <s v="P2M"/>
    <s v="Healthcare"/>
    <n v="192"/>
    <s v="SUCCESS"/>
    <s v="26-35"/>
    <s v="26-35"/>
    <s v="Karnataka"/>
    <s v="SBI"/>
    <s v="SBI"/>
    <s v="Android"/>
    <s v="5G"/>
    <n v="0"/>
    <n v="1"/>
    <s v="Tuesday"/>
    <n v="0"/>
  </r>
  <r>
    <s v="TXN0000000041"/>
    <d v="2024-01-24T10:28:00"/>
    <s v="Recharge"/>
    <s v="Food"/>
    <n v="82"/>
    <s v="SUCCESS"/>
    <s v="56+"/>
    <s v="18-25"/>
    <s v="Gujarat"/>
    <s v="HDFC"/>
    <s v="SBI"/>
    <s v="Android"/>
    <s v="5G"/>
    <n v="0"/>
    <n v="10"/>
    <s v="Wednesday"/>
    <n v="0"/>
  </r>
  <r>
    <s v="TXN0000000042"/>
    <d v="2024-10-29T12:54:00"/>
    <s v="P2M"/>
    <s v="Shopping"/>
    <n v="4309"/>
    <s v="SUCCESS"/>
    <s v="56+"/>
    <s v="36-45"/>
    <s v="Maharashtra"/>
    <s v="Kotak"/>
    <s v="HDFC"/>
    <s v="Android"/>
    <s v="4G"/>
    <n v="0"/>
    <n v="12"/>
    <s v="Tuesday"/>
    <n v="0"/>
  </r>
  <r>
    <s v="TXN0000000043"/>
    <d v="2024-01-18T13:49:00"/>
    <s v="P2P"/>
    <s v="Utilities"/>
    <n v="2338"/>
    <s v="SUCCESS"/>
    <s v="26-35"/>
    <s v="56+"/>
    <s v="Gujarat"/>
    <s v="Axis"/>
    <s v="SBI"/>
    <s v="Android"/>
    <s v="5G"/>
    <n v="0"/>
    <n v="13"/>
    <s v="Thursday"/>
    <n v="0"/>
  </r>
  <r>
    <s v="TXN0000000044"/>
    <d v="2024-02-17T14:03:00"/>
    <s v="P2M"/>
    <s v="Food"/>
    <n v="292"/>
    <s v="SUCCESS"/>
    <s v="56+"/>
    <s v="26-35"/>
    <s v="Tamil Nadu"/>
    <s v="SBI"/>
    <s v="SBI"/>
    <s v="Android"/>
    <s v="4G"/>
    <n v="0"/>
    <n v="14"/>
    <s v="Saturday"/>
    <n v="1"/>
  </r>
  <r>
    <s v="TXN0000000045"/>
    <d v="2024-09-08T09:21:00"/>
    <s v="P2P"/>
    <s v="Grocery"/>
    <n v="765"/>
    <s v="SUCCESS"/>
    <s v="18-25"/>
    <s v="36-45"/>
    <s v="Maharashtra"/>
    <s v="SBI"/>
    <s v="Yes Bank"/>
    <s v="iOS"/>
    <s v="WiFi"/>
    <n v="0"/>
    <n v="9"/>
    <s v="Sunday"/>
    <n v="1"/>
  </r>
  <r>
    <s v="TXN0000000046"/>
    <d v="2024-09-29T21:04:00"/>
    <s v="P2P"/>
    <s v="Transport"/>
    <n v="51"/>
    <s v="SUCCESS"/>
    <s v="18-25"/>
    <s v="36-45"/>
    <s v="Uttar Pradesh"/>
    <s v="Axis"/>
    <s v="IndusInd"/>
    <s v="iOS"/>
    <s v="4G"/>
    <n v="0"/>
    <n v="21"/>
    <s v="Sunday"/>
    <n v="1"/>
  </r>
  <r>
    <s v="TXN0000000047"/>
    <d v="2024-03-04T09:35:00"/>
    <s v="Bill Payment"/>
    <s v="Food"/>
    <n v="144"/>
    <s v="SUCCESS"/>
    <s v="18-25"/>
    <s v="18-25"/>
    <s v="Delhi"/>
    <s v="Yes Bank"/>
    <s v="Axis"/>
    <s v="Android"/>
    <s v="WiFi"/>
    <n v="0"/>
    <n v="9"/>
    <s v="Monday"/>
    <n v="0"/>
  </r>
  <r>
    <s v="TXN0000000048"/>
    <d v="2024-02-06T17:19:00"/>
    <s v="P2P"/>
    <s v="Other"/>
    <n v="994"/>
    <s v="SUCCESS"/>
    <s v="18-25"/>
    <s v="36-45"/>
    <s v="Uttar Pradesh"/>
    <s v="PNB"/>
    <s v="SBI"/>
    <s v="Android"/>
    <s v="5G"/>
    <n v="0"/>
    <n v="17"/>
    <s v="Tuesday"/>
    <n v="0"/>
  </r>
  <r>
    <s v="TXN0000000049"/>
    <d v="2024-05-25T17:14:00"/>
    <s v="P2P"/>
    <s v="Shopping"/>
    <n v="2393"/>
    <s v="SUCCESS"/>
    <s v="26-35"/>
    <s v="26-35"/>
    <s v="Maharashtra"/>
    <s v="ICICI"/>
    <s v="ICICI"/>
    <s v="Android"/>
    <s v="5G"/>
    <n v="0"/>
    <n v="17"/>
    <s v="Saturday"/>
    <n v="1"/>
  </r>
  <r>
    <s v="TXN0000000050"/>
    <d v="2024-02-29T18:47:00"/>
    <s v="P2P"/>
    <s v="Other"/>
    <n v="864"/>
    <s v="SUCCESS"/>
    <s v="36-45"/>
    <s v="46-55"/>
    <s v="West Bengal"/>
    <s v="Yes Bank"/>
    <s v="SBI"/>
    <s v="Android"/>
    <s v="4G"/>
    <n v="0"/>
    <n v="18"/>
    <s v="Thursday"/>
    <n v="0"/>
  </r>
  <r>
    <s v="TXN0000000051"/>
    <d v="2024-12-05T18:42:00"/>
    <s v="P2P"/>
    <s v="Transport"/>
    <n v="36"/>
    <s v="SUCCESS"/>
    <s v="36-45"/>
    <s v="36-45"/>
    <s v="Gujarat"/>
    <s v="ICICI"/>
    <s v="IndusInd"/>
    <s v="Android"/>
    <s v="WiFi"/>
    <n v="0"/>
    <n v="18"/>
    <s v="Thursday"/>
    <n v="0"/>
  </r>
  <r>
    <s v="TXN0000000052"/>
    <d v="2024-02-15T10:52:00"/>
    <s v="P2M"/>
    <s v="Utilities"/>
    <n v="582"/>
    <s v="SUCCESS"/>
    <s v="18-25"/>
    <s v="18-25"/>
    <s v="Delhi"/>
    <s v="PNB"/>
    <s v="IndusInd"/>
    <s v="Android"/>
    <s v="4G"/>
    <n v="0"/>
    <n v="10"/>
    <s v="Thursday"/>
    <n v="0"/>
  </r>
  <r>
    <s v="TXN0000000053"/>
    <d v="2024-08-31T15:47:00"/>
    <s v="P2P"/>
    <s v="Other"/>
    <n v="364"/>
    <s v="SUCCESS"/>
    <s v="36-45"/>
    <s v="26-35"/>
    <s v="Gujarat"/>
    <s v="SBI"/>
    <s v="HDFC"/>
    <s v="iOS"/>
    <s v="4G"/>
    <n v="0"/>
    <n v="15"/>
    <s v="Saturday"/>
    <n v="1"/>
  </r>
  <r>
    <s v="TXN0000000054"/>
    <d v="2024-01-11T18:25:00"/>
    <s v="P2P"/>
    <s v="Other"/>
    <n v="203"/>
    <s v="SUCCESS"/>
    <s v="36-45"/>
    <s v="18-25"/>
    <s v="Delhi"/>
    <s v="SBI"/>
    <s v="IndusInd"/>
    <s v="Android"/>
    <s v="4G"/>
    <n v="0"/>
    <n v="18"/>
    <s v="Thursday"/>
    <n v="0"/>
  </r>
  <r>
    <s v="TXN0000000055"/>
    <d v="2024-04-29T18:29:00"/>
    <s v="P2M"/>
    <s v="Shopping"/>
    <n v="4987"/>
    <s v="SUCCESS"/>
    <s v="56+"/>
    <s v="26-35"/>
    <s v="Karnataka"/>
    <s v="PNB"/>
    <s v="Yes Bank"/>
    <s v="iOS"/>
    <s v="4G"/>
    <n v="0"/>
    <n v="18"/>
    <s v="Monday"/>
    <n v="0"/>
  </r>
  <r>
    <s v="TXN0000000056"/>
    <d v="2024-09-13T10:41:00"/>
    <s v="P2P"/>
    <s v="Entertainment"/>
    <n v="213"/>
    <s v="SUCCESS"/>
    <s v="26-35"/>
    <s v="18-25"/>
    <s v="West Bengal"/>
    <s v="HDFC"/>
    <s v="Yes Bank"/>
    <s v="Android"/>
    <s v="4G"/>
    <n v="0"/>
    <n v="10"/>
    <s v="Friday"/>
    <n v="0"/>
  </r>
  <r>
    <s v="TXN0000000057"/>
    <d v="2024-10-07T05:43:00"/>
    <s v="P2M"/>
    <s v="Healthcare"/>
    <n v="1315"/>
    <s v="SUCCESS"/>
    <s v="26-35"/>
    <s v="18-25"/>
    <s v="West Bengal"/>
    <s v="HDFC"/>
    <s v="PNB"/>
    <s v="Android"/>
    <s v="4G"/>
    <n v="0"/>
    <n v="5"/>
    <s v="Monday"/>
    <n v="0"/>
  </r>
  <r>
    <s v="TXN0000000058"/>
    <d v="2024-01-16T21:57:00"/>
    <s v="P2P"/>
    <s v="Grocery"/>
    <n v="2685"/>
    <s v="SUCCESS"/>
    <s v="36-45"/>
    <s v="26-35"/>
    <s v="Gujarat"/>
    <s v="SBI"/>
    <s v="Kotak"/>
    <s v="Android"/>
    <s v="4G"/>
    <n v="0"/>
    <n v="21"/>
    <s v="Tuesday"/>
    <n v="0"/>
  </r>
  <r>
    <s v="TXN0000000059"/>
    <d v="2024-11-21T15:54:00"/>
    <s v="P2M"/>
    <s v="Entertainment"/>
    <n v="220"/>
    <s v="SUCCESS"/>
    <s v="18-25"/>
    <s v="18-25"/>
    <s v="Karnataka"/>
    <s v="PNB"/>
    <s v="ICICI"/>
    <s v="Android"/>
    <s v="4G"/>
    <n v="0"/>
    <n v="15"/>
    <s v="Thursday"/>
    <n v="0"/>
  </r>
  <r>
    <s v="TXN0000000060"/>
    <d v="2024-10-14T19:49:00"/>
    <s v="P2M"/>
    <s v="Fuel"/>
    <n v="1831"/>
    <s v="SUCCESS"/>
    <s v="36-45"/>
    <s v="26-35"/>
    <s v="Delhi"/>
    <s v="PNB"/>
    <s v="Kotak"/>
    <s v="iOS"/>
    <s v="5G"/>
    <n v="0"/>
    <n v="19"/>
    <s v="Monday"/>
    <n v="0"/>
  </r>
  <r>
    <s v="TXN0000000061"/>
    <d v="2024-09-11T20:20:00"/>
    <s v="P2P"/>
    <s v="Shopping"/>
    <n v="159"/>
    <s v="FAILED"/>
    <s v="56+"/>
    <s v="36-45"/>
    <s v="Tamil Nadu"/>
    <s v="SBI"/>
    <s v="PNB"/>
    <s v="Android"/>
    <s v="5G"/>
    <n v="0"/>
    <n v="20"/>
    <s v="Wednesday"/>
    <n v="0"/>
  </r>
  <r>
    <s v="TXN0000000062"/>
    <d v="2024-08-25T15:26:00"/>
    <s v="P2P"/>
    <s v="Entertainment"/>
    <n v="475"/>
    <s v="SUCCESS"/>
    <s v="18-25"/>
    <s v="18-25"/>
    <s v="Karnataka"/>
    <s v="ICICI"/>
    <s v="HDFC"/>
    <s v="Android"/>
    <s v="4G"/>
    <n v="0"/>
    <n v="15"/>
    <s v="Sunday"/>
    <n v="1"/>
  </r>
  <r>
    <s v="TXN0000000063"/>
    <d v="2024-03-15T17:31:00"/>
    <s v="P2M"/>
    <s v="Food"/>
    <n v="351"/>
    <s v="SUCCESS"/>
    <s v="26-35"/>
    <s v="36-45"/>
    <s v="Uttar Pradesh"/>
    <s v="Yes Bank"/>
    <s v="ICICI"/>
    <s v="Android"/>
    <s v="5G"/>
    <n v="0"/>
    <n v="17"/>
    <s v="Friday"/>
    <n v="0"/>
  </r>
  <r>
    <s v="TXN0000000064"/>
    <d v="2024-01-12T08:34:00"/>
    <s v="P2P"/>
    <s v="Other"/>
    <n v="726"/>
    <s v="SUCCESS"/>
    <s v="26-35"/>
    <s v="18-25"/>
    <s v="Uttar Pradesh"/>
    <s v="SBI"/>
    <s v="PNB"/>
    <s v="Android"/>
    <s v="WiFi"/>
    <n v="0"/>
    <n v="8"/>
    <s v="Friday"/>
    <n v="0"/>
  </r>
  <r>
    <s v="TXN0000000065"/>
    <d v="2024-04-29T17:25:00"/>
    <s v="P2P"/>
    <s v="Food"/>
    <n v="386"/>
    <s v="SUCCESS"/>
    <s v="26-35"/>
    <s v="18-25"/>
    <s v="Uttar Pradesh"/>
    <s v="SBI"/>
    <s v="Yes Bank"/>
    <s v="Android"/>
    <s v="4G"/>
    <n v="0"/>
    <n v="17"/>
    <s v="Monday"/>
    <n v="0"/>
  </r>
  <r>
    <s v="TXN0000000066"/>
    <d v="2024-04-29T17:06:00"/>
    <s v="P2M"/>
    <s v="Food"/>
    <n v="55"/>
    <s v="SUCCESS"/>
    <s v="26-35"/>
    <s v="18-25"/>
    <s v="Rajasthan"/>
    <s v="ICICI"/>
    <s v="ICICI"/>
    <s v="iOS"/>
    <s v="4G"/>
    <n v="0"/>
    <n v="17"/>
    <s v="Monday"/>
    <n v="0"/>
  </r>
  <r>
    <s v="TXN0000000067"/>
    <d v="2024-07-14T05:33:00"/>
    <s v="P2M"/>
    <s v="Other"/>
    <n v="394"/>
    <s v="SUCCESS"/>
    <s v="56+"/>
    <s v="46-55"/>
    <s v="Uttar Pradesh"/>
    <s v="SBI"/>
    <s v="ICICI"/>
    <s v="Android"/>
    <s v="4G"/>
    <n v="0"/>
    <n v="5"/>
    <s v="Sunday"/>
    <n v="1"/>
  </r>
  <r>
    <s v="TXN0000000068"/>
    <d v="2024-08-14T18:30:00"/>
    <s v="P2M"/>
    <s v="Shopping"/>
    <n v="221"/>
    <s v="FAILED"/>
    <s v="46-55"/>
    <s v="26-35"/>
    <s v="Delhi"/>
    <s v="HDFC"/>
    <s v="IndusInd"/>
    <s v="iOS"/>
    <s v="5G"/>
    <n v="0"/>
    <n v="18"/>
    <s v="Wednesday"/>
    <n v="0"/>
  </r>
  <r>
    <s v="TXN0000000069"/>
    <d v="2024-11-06T12:39:00"/>
    <s v="Bill Payment"/>
    <s v="Food"/>
    <n v="131"/>
    <s v="SUCCESS"/>
    <s v="26-35"/>
    <s v="18-25"/>
    <s v="Telangana"/>
    <s v="Axis"/>
    <s v="SBI"/>
    <s v="Android"/>
    <s v="4G"/>
    <n v="0"/>
    <n v="12"/>
    <s v="Wednesday"/>
    <n v="0"/>
  </r>
  <r>
    <s v="TXN0000000070"/>
    <d v="2024-04-08T12:29:00"/>
    <s v="P2M"/>
    <s v="Fuel"/>
    <n v="257"/>
    <s v="SUCCESS"/>
    <s v="56+"/>
    <s v="26-35"/>
    <s v="Uttar Pradesh"/>
    <s v="PNB"/>
    <s v="Axis"/>
    <s v="Android"/>
    <s v="5G"/>
    <n v="0"/>
    <n v="12"/>
    <s v="Monday"/>
    <n v="0"/>
  </r>
  <r>
    <s v="TXN0000000071"/>
    <d v="2024-12-14T12:14:00"/>
    <s v="Bill Payment"/>
    <s v="Shopping"/>
    <n v="183"/>
    <s v="SUCCESS"/>
    <s v="26-35"/>
    <s v="26-35"/>
    <s v="Gujarat"/>
    <s v="PNB"/>
    <s v="Yes Bank"/>
    <s v="iOS"/>
    <s v="4G"/>
    <n v="0"/>
    <n v="12"/>
    <s v="Saturday"/>
    <n v="1"/>
  </r>
  <r>
    <s v="TXN0000000072"/>
    <d v="2024-01-27T08:43:00"/>
    <s v="P2P"/>
    <s v="Healthcare"/>
    <n v="1376"/>
    <s v="SUCCESS"/>
    <s v="36-45"/>
    <s v="36-45"/>
    <s v="Gujarat"/>
    <s v="IndusInd"/>
    <s v="Kotak"/>
    <s v="Android"/>
    <s v="4G"/>
    <n v="0"/>
    <n v="8"/>
    <s v="Saturday"/>
    <n v="1"/>
  </r>
  <r>
    <s v="TXN0000000073"/>
    <d v="2024-03-10T16:12:00"/>
    <s v="P2P"/>
    <s v="Other"/>
    <n v="760"/>
    <s v="SUCCESS"/>
    <s v="36-45"/>
    <s v="36-45"/>
    <s v="Maharashtra"/>
    <s v="SBI"/>
    <s v="SBI"/>
    <s v="Android"/>
    <s v="4G"/>
    <n v="0"/>
    <n v="16"/>
    <s v="Sunday"/>
    <n v="1"/>
  </r>
  <r>
    <s v="TXN0000000074"/>
    <d v="2024-12-04T18:27:00"/>
    <s v="Bill Payment"/>
    <s v="Utilities"/>
    <n v="2060"/>
    <s v="SUCCESS"/>
    <s v="36-45"/>
    <s v="46-55"/>
    <s v="Karnataka"/>
    <s v="Axis"/>
    <s v="ICICI"/>
    <s v="iOS"/>
    <s v="4G"/>
    <n v="0"/>
    <n v="18"/>
    <s v="Wednesday"/>
    <n v="0"/>
  </r>
  <r>
    <s v="TXN0000000075"/>
    <d v="2024-08-29T21:38:00"/>
    <s v="P2P"/>
    <s v="Food"/>
    <n v="929"/>
    <s v="SUCCESS"/>
    <s v="26-35"/>
    <s v="26-35"/>
    <s v="West Bengal"/>
    <s v="SBI"/>
    <s v="Yes Bank"/>
    <s v="iOS"/>
    <s v="4G"/>
    <n v="0"/>
    <n v="21"/>
    <s v="Thursday"/>
    <n v="0"/>
  </r>
  <r>
    <s v="TXN0000000076"/>
    <d v="2024-05-19T19:09:00"/>
    <s v="P2P"/>
    <s v="Transport"/>
    <n v="89"/>
    <s v="SUCCESS"/>
    <s v="36-45"/>
    <s v="36-45"/>
    <s v="Karnataka"/>
    <s v="PNB"/>
    <s v="Kotak"/>
    <s v="Android"/>
    <s v="5G"/>
    <n v="0"/>
    <n v="19"/>
    <s v="Sunday"/>
    <n v="1"/>
  </r>
  <r>
    <s v="TXN0000000077"/>
    <d v="2024-12-16T14:23:00"/>
    <s v="Bill Payment"/>
    <s v="Utilities"/>
    <n v="417"/>
    <s v="SUCCESS"/>
    <s v="36-45"/>
    <s v="36-45"/>
    <s v="Telangana"/>
    <s v="HDFC"/>
    <s v="SBI"/>
    <s v="Android"/>
    <s v="5G"/>
    <n v="0"/>
    <n v="14"/>
    <s v="Monday"/>
    <n v="0"/>
  </r>
  <r>
    <s v="TXN0000000078"/>
    <d v="2024-09-04T20:34:00"/>
    <s v="P2P"/>
    <s v="Utilities"/>
    <n v="1415"/>
    <s v="SUCCESS"/>
    <s v="36-45"/>
    <s v="36-45"/>
    <s v="Tamil Nadu"/>
    <s v="ICICI"/>
    <s v="SBI"/>
    <s v="Android"/>
    <s v="4G"/>
    <n v="0"/>
    <n v="20"/>
    <s v="Wednesday"/>
    <n v="0"/>
  </r>
  <r>
    <s v="TXN0000000079"/>
    <d v="2024-09-18T07:14:00"/>
    <s v="P2M"/>
    <s v="Education"/>
    <n v="588"/>
    <s v="SUCCESS"/>
    <s v="26-35"/>
    <s v="36-45"/>
    <s v="Rajasthan"/>
    <s v="Yes Bank"/>
    <s v="Axis"/>
    <s v="Android"/>
    <s v="4G"/>
    <n v="0"/>
    <n v="7"/>
    <s v="Wednesday"/>
    <n v="0"/>
  </r>
  <r>
    <s v="TXN0000000080"/>
    <d v="2024-11-08T20:26:00"/>
    <s v="P2M"/>
    <s v="Utilities"/>
    <n v="8335"/>
    <s v="SUCCESS"/>
    <s v="46-55"/>
    <s v="46-55"/>
    <s v="West Bengal"/>
    <s v="Axis"/>
    <s v="IndusInd"/>
    <s v="Web"/>
    <s v="4G"/>
    <n v="0"/>
    <n v="20"/>
    <s v="Friday"/>
    <n v="0"/>
  </r>
  <r>
    <s v="TXN0000000081"/>
    <d v="2024-10-20T13:14:00"/>
    <s v="Bill Payment"/>
    <s v="Utilities"/>
    <n v="4279"/>
    <s v="SUCCESS"/>
    <s v="36-45"/>
    <s v="36-45"/>
    <s v="Uttar Pradesh"/>
    <s v="PNB"/>
    <s v="SBI"/>
    <s v="Android"/>
    <s v="5G"/>
    <n v="0"/>
    <n v="13"/>
    <s v="Sunday"/>
    <n v="1"/>
  </r>
  <r>
    <s v="TXN0000000082"/>
    <d v="2024-08-03T13:15:00"/>
    <s v="P2M"/>
    <s v="Utilities"/>
    <n v="318"/>
    <s v="SUCCESS"/>
    <s v="36-45"/>
    <s v="18-25"/>
    <s v="Andhra Pradesh"/>
    <s v="PNB"/>
    <s v="Axis"/>
    <s v="Android"/>
    <s v="5G"/>
    <n v="0"/>
    <n v="13"/>
    <s v="Saturday"/>
    <n v="1"/>
  </r>
  <r>
    <s v="TXN0000000083"/>
    <d v="2024-01-03T10:03:00"/>
    <s v="P2M"/>
    <s v="Shopping"/>
    <n v="1496"/>
    <s v="SUCCESS"/>
    <s v="46-55"/>
    <s v="36-45"/>
    <s v="Uttar Pradesh"/>
    <s v="PNB"/>
    <s v="Kotak"/>
    <s v="Android"/>
    <s v="4G"/>
    <n v="0"/>
    <n v="10"/>
    <s v="Wednesday"/>
    <n v="0"/>
  </r>
  <r>
    <s v="TXN0000000084"/>
    <d v="2024-11-04T18:06:00"/>
    <s v="P2P"/>
    <s v="Utilities"/>
    <n v="924"/>
    <s v="SUCCESS"/>
    <s v="18-25"/>
    <s v="36-45"/>
    <s v="Karnataka"/>
    <s v="ICICI"/>
    <s v="ICICI"/>
    <s v="Android"/>
    <s v="4G"/>
    <n v="0"/>
    <n v="18"/>
    <s v="Monday"/>
    <n v="0"/>
  </r>
  <r>
    <s v="TXN0000000085"/>
    <d v="2024-04-30T19:43:00"/>
    <s v="P2P"/>
    <s v="Food"/>
    <n v="291"/>
    <s v="SUCCESS"/>
    <s v="36-45"/>
    <s v="46-55"/>
    <s v="Maharashtra"/>
    <s v="HDFC"/>
    <s v="ICICI"/>
    <s v="Web"/>
    <s v="4G"/>
    <n v="0"/>
    <n v="19"/>
    <s v="Tuesday"/>
    <n v="0"/>
  </r>
  <r>
    <s v="TXN0000000086"/>
    <d v="2024-09-02T18:42:00"/>
    <s v="Bill Payment"/>
    <s v="Grocery"/>
    <n v="665"/>
    <s v="SUCCESS"/>
    <s v="36-45"/>
    <s v="46-55"/>
    <s v="Maharashtra"/>
    <s v="Kotak"/>
    <s v="HDFC"/>
    <s v="iOS"/>
    <s v="4G"/>
    <n v="0"/>
    <n v="18"/>
    <s v="Monday"/>
    <n v="0"/>
  </r>
  <r>
    <s v="TXN0000000087"/>
    <d v="2024-01-20T11:01:00"/>
    <s v="P2P"/>
    <s v="Fuel"/>
    <n v="669"/>
    <s v="SUCCESS"/>
    <s v="36-45"/>
    <s v="36-45"/>
    <s v="Delhi"/>
    <s v="SBI"/>
    <s v="ICICI"/>
    <s v="iOS"/>
    <s v="3G"/>
    <n v="0"/>
    <n v="11"/>
    <s v="Saturday"/>
    <n v="1"/>
  </r>
  <r>
    <s v="TXN0000000088"/>
    <d v="2024-09-27T22:15:00"/>
    <s v="Recharge"/>
    <s v="Grocery"/>
    <n v="1855"/>
    <s v="SUCCESS"/>
    <s v="36-45"/>
    <s v="36-45"/>
    <s v="Tamil Nadu"/>
    <s v="IndusInd"/>
    <s v="ICICI"/>
    <s v="Android"/>
    <s v="4G"/>
    <n v="0"/>
    <n v="22"/>
    <s v="Friday"/>
    <n v="0"/>
  </r>
  <r>
    <s v="TXN0000000089"/>
    <d v="2024-04-03T12:09:00"/>
    <s v="P2M"/>
    <s v="Utilities"/>
    <n v="1015"/>
    <s v="SUCCESS"/>
    <s v="18-25"/>
    <s v="26-35"/>
    <s v="Uttar Pradesh"/>
    <s v="Axis"/>
    <s v="SBI"/>
    <s v="iOS"/>
    <s v="4G"/>
    <n v="0"/>
    <n v="12"/>
    <s v="Wednesday"/>
    <n v="0"/>
  </r>
  <r>
    <s v="TXN0000000090"/>
    <d v="2024-08-01T09:40:00"/>
    <s v="P2M"/>
    <s v="Other"/>
    <n v="188"/>
    <s v="SUCCESS"/>
    <s v="26-35"/>
    <s v="36-45"/>
    <s v="Gujarat"/>
    <s v="PNB"/>
    <s v="Kotak"/>
    <s v="Android"/>
    <s v="4G"/>
    <n v="0"/>
    <n v="9"/>
    <s v="Thursday"/>
    <n v="0"/>
  </r>
  <r>
    <s v="TXN0000000091"/>
    <d v="2024-07-14T12:18:00"/>
    <s v="P2P"/>
    <s v="Other"/>
    <n v="1702"/>
    <s v="SUCCESS"/>
    <s v="26-35"/>
    <s v="18-25"/>
    <s v="Telangana"/>
    <s v="SBI"/>
    <s v="SBI"/>
    <s v="Android"/>
    <s v="4G"/>
    <n v="0"/>
    <n v="12"/>
    <s v="Sunday"/>
    <n v="1"/>
  </r>
  <r>
    <s v="TXN0000000092"/>
    <d v="2024-08-04T10:24:00"/>
    <s v="Bill Payment"/>
    <s v="Food"/>
    <n v="1816"/>
    <s v="SUCCESS"/>
    <s v="18-25"/>
    <s v="18-25"/>
    <s v="Rajasthan"/>
    <s v="Kotak"/>
    <s v="SBI"/>
    <s v="Android"/>
    <s v="4G"/>
    <n v="0"/>
    <n v="10"/>
    <s v="Sunday"/>
    <n v="1"/>
  </r>
  <r>
    <s v="TXN0000000093"/>
    <d v="2024-05-19T18:03:00"/>
    <s v="P2P"/>
    <s v="Other"/>
    <n v="712"/>
    <s v="SUCCESS"/>
    <s v="46-55"/>
    <s v="26-35"/>
    <s v="Gujarat"/>
    <s v="SBI"/>
    <s v="PNB"/>
    <s v="Android"/>
    <s v="5G"/>
    <n v="0"/>
    <n v="18"/>
    <s v="Sunday"/>
    <n v="1"/>
  </r>
  <r>
    <s v="TXN0000000094"/>
    <d v="2024-10-12T20:55:00"/>
    <s v="P2M"/>
    <s v="Grocery"/>
    <n v="461"/>
    <s v="SUCCESS"/>
    <s v="26-35"/>
    <s v="18-25"/>
    <s v="Karnataka"/>
    <s v="SBI"/>
    <s v="IndusInd"/>
    <s v="Android"/>
    <s v="5G"/>
    <n v="0"/>
    <n v="20"/>
    <s v="Saturday"/>
    <n v="1"/>
  </r>
  <r>
    <s v="TXN0000000095"/>
    <d v="2024-01-22T16:45:00"/>
    <s v="P2P"/>
    <s v="Transport"/>
    <n v="224"/>
    <s v="SUCCESS"/>
    <s v="26-35"/>
    <s v="18-25"/>
    <s v="Gujarat"/>
    <s v="Axis"/>
    <s v="SBI"/>
    <s v="Android"/>
    <s v="5G"/>
    <n v="0"/>
    <n v="16"/>
    <s v="Monday"/>
    <n v="0"/>
  </r>
  <r>
    <s v="TXN0000000096"/>
    <d v="2024-03-23T22:12:00"/>
    <s v="P2P"/>
    <s v="Shopping"/>
    <n v="2202"/>
    <s v="SUCCESS"/>
    <s v="36-45"/>
    <s v="46-55"/>
    <s v="West Bengal"/>
    <s v="Axis"/>
    <s v="SBI"/>
    <s v="Android"/>
    <s v="4G"/>
    <n v="0"/>
    <n v="22"/>
    <s v="Saturday"/>
    <n v="1"/>
  </r>
  <r>
    <s v="TXN0000000097"/>
    <d v="2024-02-19T18:16:00"/>
    <s v="Bill Payment"/>
    <s v="Shopping"/>
    <n v="7821"/>
    <s v="SUCCESS"/>
    <s v="26-35"/>
    <s v="26-35"/>
    <s v="Rajasthan"/>
    <s v="Yes Bank"/>
    <s v="Kotak"/>
    <s v="Web"/>
    <s v="5G"/>
    <n v="0"/>
    <n v="18"/>
    <s v="Monday"/>
    <n v="0"/>
  </r>
  <r>
    <s v="TXN0000000098"/>
    <d v="2024-04-14T20:11:00"/>
    <s v="P2M"/>
    <s v="Shopping"/>
    <n v="2135"/>
    <s v="SUCCESS"/>
    <s v="18-25"/>
    <s v="26-35"/>
    <s v="Maharashtra"/>
    <s v="ICICI"/>
    <s v="HDFC"/>
    <s v="Android"/>
    <s v="4G"/>
    <n v="0"/>
    <n v="20"/>
    <s v="Sunday"/>
    <n v="1"/>
  </r>
  <r>
    <s v="TXN0000000099"/>
    <d v="2024-07-16T12:59:00"/>
    <s v="P2P"/>
    <s v="Utilities"/>
    <n v="2776"/>
    <s v="SUCCESS"/>
    <s v="36-45"/>
    <s v="26-35"/>
    <s v="Telangana"/>
    <s v="IndusInd"/>
    <s v="SBI"/>
    <s v="Android"/>
    <s v="3G"/>
    <n v="0"/>
    <n v="12"/>
    <s v="Tuesday"/>
    <n v="0"/>
  </r>
  <r>
    <s v="TXN0000000100"/>
    <d v="2024-10-24T16:39:00"/>
    <s v="P2M"/>
    <s v="Grocery"/>
    <n v="543"/>
    <s v="SUCCESS"/>
    <s v="26-35"/>
    <s v="26-35"/>
    <s v="Karnataka"/>
    <s v="HDFC"/>
    <s v="Axis"/>
    <s v="Android"/>
    <s v="4G"/>
    <n v="0"/>
    <n v="16"/>
    <s v="Thursday"/>
    <n v="0"/>
  </r>
  <r>
    <s v="TXN0000000101"/>
    <d v="2024-12-09T19:55:00"/>
    <s v="P2P"/>
    <s v="Food"/>
    <n v="215"/>
    <s v="SUCCESS"/>
    <s v="18-25"/>
    <s v="26-35"/>
    <s v="Karnataka"/>
    <s v="ICICI"/>
    <s v="Kotak"/>
    <s v="Android"/>
    <s v="4G"/>
    <n v="0"/>
    <n v="19"/>
    <s v="Monday"/>
    <n v="0"/>
  </r>
  <r>
    <s v="TXN0000000102"/>
    <d v="2024-02-19T18:16:00"/>
    <s v="P2M"/>
    <s v="Education"/>
    <n v="8754"/>
    <s v="SUCCESS"/>
    <s v="36-45"/>
    <s v="26-35"/>
    <s v="West Bengal"/>
    <s v="ICICI"/>
    <s v="PNB"/>
    <s v="Android"/>
    <s v="4G"/>
    <n v="0"/>
    <n v="18"/>
    <s v="Monday"/>
    <n v="0"/>
  </r>
  <r>
    <s v="TXN0000000103"/>
    <d v="2024-08-25T06:09:00"/>
    <s v="Bill Payment"/>
    <s v="Grocery"/>
    <n v="561"/>
    <s v="SUCCESS"/>
    <s v="26-35"/>
    <s v="26-35"/>
    <s v="Andhra Pradesh"/>
    <s v="ICICI"/>
    <s v="Axis"/>
    <s v="Android"/>
    <s v="4G"/>
    <n v="0"/>
    <n v="6"/>
    <s v="Sunday"/>
    <n v="1"/>
  </r>
  <r>
    <s v="TXN0000000104"/>
    <d v="2024-09-16T18:23:00"/>
    <s v="P2P"/>
    <s v="Other"/>
    <n v="147"/>
    <s v="SUCCESS"/>
    <s v="26-35"/>
    <s v="36-45"/>
    <s v="West Bengal"/>
    <s v="SBI"/>
    <s v="ICICI"/>
    <s v="Android"/>
    <s v="4G"/>
    <n v="0"/>
    <n v="18"/>
    <s v="Monday"/>
    <n v="0"/>
  </r>
  <r>
    <s v="TXN0000000105"/>
    <d v="2024-06-09T20:44:00"/>
    <s v="Bill Payment"/>
    <s v="Other"/>
    <n v="661"/>
    <s v="SUCCESS"/>
    <s v="36-45"/>
    <s v="36-45"/>
    <s v="West Bengal"/>
    <s v="Yes Bank"/>
    <s v="Kotak"/>
    <s v="iOS"/>
    <s v="4G"/>
    <n v="0"/>
    <n v="20"/>
    <s v="Sunday"/>
    <n v="1"/>
  </r>
  <r>
    <s v="TXN0000000106"/>
    <d v="2024-07-29T20:35:00"/>
    <s v="P2M"/>
    <s v="Shopping"/>
    <n v="7145"/>
    <s v="SUCCESS"/>
    <s v="18-25"/>
    <s v="46-55"/>
    <s v="West Bengal"/>
    <s v="PNB"/>
    <s v="Yes Bank"/>
    <s v="Android"/>
    <s v="WiFi"/>
    <n v="0"/>
    <n v="20"/>
    <s v="Monday"/>
    <n v="0"/>
  </r>
  <r>
    <s v="TXN0000000107"/>
    <d v="2024-07-17T10:07:00"/>
    <s v="P2P"/>
    <s v="Fuel"/>
    <n v="4468"/>
    <s v="SUCCESS"/>
    <s v="36-45"/>
    <s v="36-45"/>
    <s v="Gujarat"/>
    <s v="Kotak"/>
    <s v="Yes Bank"/>
    <s v="Android"/>
    <s v="5G"/>
    <n v="0"/>
    <n v="10"/>
    <s v="Wednesday"/>
    <n v="0"/>
  </r>
  <r>
    <s v="TXN0000000108"/>
    <d v="2024-12-24T11:08:00"/>
    <s v="Bill Payment"/>
    <s v="Utilities"/>
    <n v="2850"/>
    <s v="SUCCESS"/>
    <s v="26-35"/>
    <s v="36-45"/>
    <s v="Rajasthan"/>
    <s v="Kotak"/>
    <s v="ICICI"/>
    <s v="Android"/>
    <s v="WiFi"/>
    <n v="0"/>
    <n v="11"/>
    <s v="Tuesday"/>
    <n v="0"/>
  </r>
  <r>
    <s v="TXN0000000109"/>
    <d v="2024-10-13T20:29:00"/>
    <s v="P2M"/>
    <s v="Utilities"/>
    <n v="2142"/>
    <s v="SUCCESS"/>
    <s v="18-25"/>
    <s v="36-45"/>
    <s v="Rajasthan"/>
    <s v="ICICI"/>
    <s v="IndusInd"/>
    <s v="Android"/>
    <s v="4G"/>
    <n v="0"/>
    <n v="20"/>
    <s v="Sunday"/>
    <n v="1"/>
  </r>
  <r>
    <s v="TXN0000000110"/>
    <d v="2024-07-19T11:30:00"/>
    <s v="Recharge"/>
    <s v="Food"/>
    <n v="61"/>
    <s v="SUCCESS"/>
    <s v="26-35"/>
    <s v="26-35"/>
    <s v="Maharashtra"/>
    <s v="PNB"/>
    <s v="SBI"/>
    <s v="Android"/>
    <s v="5G"/>
    <n v="0"/>
    <n v="11"/>
    <s v="Friday"/>
    <n v="0"/>
  </r>
  <r>
    <s v="TXN0000000111"/>
    <d v="2024-04-16T16:11:00"/>
    <s v="P2P"/>
    <s v="Food"/>
    <n v="1288"/>
    <s v="SUCCESS"/>
    <s v="36-45"/>
    <s v="46-55"/>
    <s v="Gujarat"/>
    <s v="SBI"/>
    <s v="ICICI"/>
    <s v="Android"/>
    <s v="4G"/>
    <n v="0"/>
    <n v="16"/>
    <s v="Tuesday"/>
    <n v="0"/>
  </r>
  <r>
    <s v="TXN0000000112"/>
    <d v="2024-08-11T19:39:00"/>
    <s v="P2P"/>
    <s v="Food"/>
    <n v="1014"/>
    <s v="SUCCESS"/>
    <s v="36-45"/>
    <s v="36-45"/>
    <s v="Delhi"/>
    <s v="IndusInd"/>
    <s v="PNB"/>
    <s v="Android"/>
    <s v="3G"/>
    <n v="0"/>
    <n v="19"/>
    <s v="Sunday"/>
    <n v="1"/>
  </r>
  <r>
    <s v="TXN0000000113"/>
    <d v="2024-02-05T19:13:00"/>
    <s v="Bill Payment"/>
    <s v="Other"/>
    <n v="2474"/>
    <s v="SUCCESS"/>
    <s v="56+"/>
    <s v="46-55"/>
    <s v="Delhi"/>
    <s v="Axis"/>
    <s v="HDFC"/>
    <s v="Web"/>
    <s v="WiFi"/>
    <n v="0"/>
    <n v="19"/>
    <s v="Monday"/>
    <n v="0"/>
  </r>
  <r>
    <s v="TXN0000000114"/>
    <d v="2024-11-25T19:54:00"/>
    <s v="P2M"/>
    <s v="Healthcare"/>
    <n v="861"/>
    <s v="SUCCESS"/>
    <s v="56+"/>
    <s v="26-35"/>
    <s v="Rajasthan"/>
    <s v="Yes Bank"/>
    <s v="SBI"/>
    <s v="Android"/>
    <s v="5G"/>
    <n v="0"/>
    <n v="19"/>
    <s v="Monday"/>
    <n v="0"/>
  </r>
  <r>
    <s v="TXN0000000115"/>
    <d v="2024-04-26T20:45:00"/>
    <s v="P2P"/>
    <s v="Transport"/>
    <n v="507"/>
    <s v="SUCCESS"/>
    <s v="36-45"/>
    <s v="36-45"/>
    <s v="Andhra Pradesh"/>
    <s v="SBI"/>
    <s v="Axis"/>
    <s v="Android"/>
    <s v="5G"/>
    <n v="0"/>
    <n v="20"/>
    <s v="Friday"/>
    <n v="0"/>
  </r>
  <r>
    <s v="TXN0000000116"/>
    <d v="2024-08-06T13:16:00"/>
    <s v="P2M"/>
    <s v="Shopping"/>
    <n v="404"/>
    <s v="SUCCESS"/>
    <s v="18-25"/>
    <s v="46-55"/>
    <s v="Gujarat"/>
    <s v="ICICI"/>
    <s v="SBI"/>
    <s v="Android"/>
    <s v="4G"/>
    <n v="0"/>
    <n v="13"/>
    <s v="Tuesday"/>
    <n v="0"/>
  </r>
  <r>
    <s v="TXN0000000117"/>
    <d v="2024-02-04T17:37:00"/>
    <s v="P2M"/>
    <s v="Other"/>
    <n v="621"/>
    <s v="SUCCESS"/>
    <s v="36-45"/>
    <s v="18-25"/>
    <s v="Delhi"/>
    <s v="SBI"/>
    <s v="Yes Bank"/>
    <s v="iOS"/>
    <s v="WiFi"/>
    <n v="0"/>
    <n v="17"/>
    <s v="Sunday"/>
    <n v="1"/>
  </r>
  <r>
    <s v="TXN0000000118"/>
    <d v="2024-10-24T09:26:00"/>
    <s v="Bill Payment"/>
    <s v="Fuel"/>
    <n v="1830"/>
    <s v="SUCCESS"/>
    <s v="18-25"/>
    <s v="18-25"/>
    <s v="Telangana"/>
    <s v="IndusInd"/>
    <s v="SBI"/>
    <s v="Android"/>
    <s v="4G"/>
    <n v="0"/>
    <n v="9"/>
    <s v="Thursday"/>
    <n v="0"/>
  </r>
  <r>
    <s v="TXN0000000119"/>
    <d v="2024-04-03T13:21:00"/>
    <s v="P2M"/>
    <s v="Other"/>
    <n v="657"/>
    <s v="SUCCESS"/>
    <s v="26-35"/>
    <s v="26-35"/>
    <s v="Delhi"/>
    <s v="PNB"/>
    <s v="HDFC"/>
    <s v="iOS"/>
    <s v="4G"/>
    <n v="0"/>
    <n v="13"/>
    <s v="Wednesday"/>
    <n v="0"/>
  </r>
  <r>
    <s v="TXN0000000120"/>
    <d v="2024-10-25T11:34:00"/>
    <s v="P2P"/>
    <s v="Shopping"/>
    <n v="6804"/>
    <s v="SUCCESS"/>
    <s v="26-35"/>
    <s v="26-35"/>
    <s v="Karnataka"/>
    <s v="Yes Bank"/>
    <s v="SBI"/>
    <s v="Android"/>
    <s v="5G"/>
    <n v="0"/>
    <n v="11"/>
    <s v="Friday"/>
    <n v="0"/>
  </r>
  <r>
    <s v="TXN0000000121"/>
    <d v="2024-03-20T05:14:00"/>
    <s v="P2P"/>
    <s v="Utilities"/>
    <n v="261"/>
    <s v="SUCCESS"/>
    <s v="26-35"/>
    <s v="26-35"/>
    <s v="Gujarat"/>
    <s v="HDFC"/>
    <s v="SBI"/>
    <s v="Android"/>
    <s v="4G"/>
    <n v="0"/>
    <n v="5"/>
    <s v="Wednesday"/>
    <n v="0"/>
  </r>
  <r>
    <s v="TXN0000000122"/>
    <d v="2024-01-20T13:38:00"/>
    <s v="P2P"/>
    <s v="Entertainment"/>
    <n v="268"/>
    <s v="SUCCESS"/>
    <s v="26-35"/>
    <s v="26-35"/>
    <s v="Uttar Pradesh"/>
    <s v="HDFC"/>
    <s v="PNB"/>
    <s v="Android"/>
    <s v="WiFi"/>
    <n v="0"/>
    <n v="13"/>
    <s v="Saturday"/>
    <n v="1"/>
  </r>
  <r>
    <s v="TXN0000000123"/>
    <d v="2024-01-03T14:46:00"/>
    <s v="P2P"/>
    <s v="Transport"/>
    <n v="1410"/>
    <s v="SUCCESS"/>
    <s v="26-35"/>
    <s v="18-25"/>
    <s v="Karnataka"/>
    <s v="SBI"/>
    <s v="Yes Bank"/>
    <s v="Android"/>
    <s v="4G"/>
    <n v="0"/>
    <n v="14"/>
    <s v="Wednesday"/>
    <n v="0"/>
  </r>
  <r>
    <s v="TXN0000000124"/>
    <d v="2024-01-23T11:47:00"/>
    <s v="P2P"/>
    <s v="Utilities"/>
    <n v="342"/>
    <s v="SUCCESS"/>
    <s v="26-35"/>
    <s v="26-35"/>
    <s v="Uttar Pradesh"/>
    <s v="Kotak"/>
    <s v="SBI"/>
    <s v="iOS"/>
    <s v="WiFi"/>
    <n v="0"/>
    <n v="11"/>
    <s v="Tuesday"/>
    <n v="0"/>
  </r>
  <r>
    <s v="TXN0000000125"/>
    <d v="2024-04-09T13:39:00"/>
    <s v="Bill Payment"/>
    <s v="Utilities"/>
    <n v="3941"/>
    <s v="SUCCESS"/>
    <s v="36-45"/>
    <s v="26-35"/>
    <s v="Telangana"/>
    <s v="HDFC"/>
    <s v="HDFC"/>
    <s v="iOS"/>
    <s v="4G"/>
    <n v="0"/>
    <n v="13"/>
    <s v="Tuesday"/>
    <n v="0"/>
  </r>
  <r>
    <s v="TXN0000000126"/>
    <d v="2024-05-12T11:54:00"/>
    <s v="P2M"/>
    <s v="Grocery"/>
    <n v="4073"/>
    <s v="SUCCESS"/>
    <s v="36-45"/>
    <s v="56+"/>
    <s v="Gujarat"/>
    <s v="Axis"/>
    <s v="Yes Bank"/>
    <s v="Android"/>
    <s v="WiFi"/>
    <n v="0"/>
    <n v="11"/>
    <s v="Sunday"/>
    <n v="1"/>
  </r>
  <r>
    <s v="TXN0000000127"/>
    <d v="2024-04-29T15:05:00"/>
    <s v="P2M"/>
    <s v="Food"/>
    <n v="91"/>
    <s v="SUCCESS"/>
    <s v="56+"/>
    <s v="46-55"/>
    <s v="Telangana"/>
    <s v="Axis"/>
    <s v="SBI"/>
    <s v="Android"/>
    <s v="4G"/>
    <n v="0"/>
    <n v="15"/>
    <s v="Monday"/>
    <n v="0"/>
  </r>
  <r>
    <s v="TXN0000000128"/>
    <d v="2024-09-14T13:32:00"/>
    <s v="Bill Payment"/>
    <s v="Entertainment"/>
    <n v="209"/>
    <s v="SUCCESS"/>
    <s v="56+"/>
    <s v="46-55"/>
    <s v="Karnataka"/>
    <s v="HDFC"/>
    <s v="ICICI"/>
    <s v="Web"/>
    <s v="4G"/>
    <n v="0"/>
    <n v="13"/>
    <s v="Saturday"/>
    <n v="1"/>
  </r>
  <r>
    <s v="TXN0000000129"/>
    <d v="2024-03-09T18:13:00"/>
    <s v="P2P"/>
    <s v="Transport"/>
    <n v="37"/>
    <s v="SUCCESS"/>
    <s v="26-35"/>
    <s v="26-35"/>
    <s v="Karnataka"/>
    <s v="HDFC"/>
    <s v="IndusInd"/>
    <s v="Android"/>
    <s v="5G"/>
    <n v="0"/>
    <n v="18"/>
    <s v="Saturday"/>
    <n v="1"/>
  </r>
  <r>
    <s v="TXN0000000130"/>
    <d v="2024-09-05T11:42:00"/>
    <s v="P2P"/>
    <s v="Fuel"/>
    <n v="596"/>
    <s v="SUCCESS"/>
    <s v="26-35"/>
    <s v="18-25"/>
    <s v="Maharashtra"/>
    <s v="Axis"/>
    <s v="HDFC"/>
    <s v="Android"/>
    <s v="4G"/>
    <n v="0"/>
    <n v="11"/>
    <s v="Thursday"/>
    <n v="0"/>
  </r>
  <r>
    <s v="TXN0000000131"/>
    <d v="2024-10-10T23:26:00"/>
    <s v="P2M"/>
    <s v="Transport"/>
    <n v="66"/>
    <s v="SUCCESS"/>
    <s v="36-45"/>
    <s v="36-45"/>
    <s v="Maharashtra"/>
    <s v="ICICI"/>
    <s v="PNB"/>
    <s v="iOS"/>
    <s v="4G"/>
    <n v="0"/>
    <n v="23"/>
    <s v="Thursday"/>
    <n v="0"/>
  </r>
  <r>
    <s v="TXN0000000132"/>
    <d v="2024-12-28T10:47:00"/>
    <s v="Recharge"/>
    <s v="Food"/>
    <n v="225"/>
    <s v="SUCCESS"/>
    <s v="26-35"/>
    <s v="36-45"/>
    <s v="Maharashtra"/>
    <s v="ICICI"/>
    <s v="HDFC"/>
    <s v="Android"/>
    <s v="4G"/>
    <n v="0"/>
    <n v="10"/>
    <s v="Saturday"/>
    <n v="1"/>
  </r>
  <r>
    <s v="TXN0000000133"/>
    <d v="2024-04-05T20:33:00"/>
    <s v="P2M"/>
    <s v="Entertainment"/>
    <n v="187"/>
    <s v="SUCCESS"/>
    <s v="26-35"/>
    <s v="18-25"/>
    <s v="Delhi"/>
    <s v="SBI"/>
    <s v="Axis"/>
    <s v="Android"/>
    <s v="4G"/>
    <n v="0"/>
    <n v="20"/>
    <s v="Friday"/>
    <n v="0"/>
  </r>
  <r>
    <s v="TXN0000000134"/>
    <d v="2024-10-15T19:38:00"/>
    <s v="P2P"/>
    <s v="Shopping"/>
    <n v="7155"/>
    <s v="SUCCESS"/>
    <s v="18-25"/>
    <s v="46-55"/>
    <s v="Tamil Nadu"/>
    <s v="ICICI"/>
    <s v="IndusInd"/>
    <s v="Android"/>
    <s v="4G"/>
    <n v="0"/>
    <n v="19"/>
    <s v="Tuesday"/>
    <n v="0"/>
  </r>
  <r>
    <s v="TXN0000000135"/>
    <d v="2024-12-14T19:24:00"/>
    <s v="Bill Payment"/>
    <s v="Shopping"/>
    <n v="5879"/>
    <s v="SUCCESS"/>
    <s v="18-25"/>
    <s v="18-25"/>
    <s v="Telangana"/>
    <s v="SBI"/>
    <s v="PNB"/>
    <s v="Android"/>
    <s v="5G"/>
    <n v="0"/>
    <n v="19"/>
    <s v="Saturday"/>
    <n v="1"/>
  </r>
  <r>
    <s v="TXN0000000136"/>
    <d v="2024-09-02T20:42:00"/>
    <s v="P2P"/>
    <s v="Entertainment"/>
    <n v="561"/>
    <s v="SUCCESS"/>
    <s v="36-45"/>
    <s v="56+"/>
    <s v="Delhi"/>
    <s v="SBI"/>
    <s v="Yes Bank"/>
    <s v="Android"/>
    <s v="WiFi"/>
    <n v="0"/>
    <n v="20"/>
    <s v="Monday"/>
    <n v="0"/>
  </r>
  <r>
    <s v="TXN0000000137"/>
    <d v="2024-12-02T13:26:00"/>
    <s v="Bill Payment"/>
    <s v="Utilities"/>
    <n v="6011"/>
    <s v="SUCCESS"/>
    <s v="36-45"/>
    <s v="18-25"/>
    <s v="Maharashtra"/>
    <s v="SBI"/>
    <s v="Yes Bank"/>
    <s v="Android"/>
    <s v="4G"/>
    <n v="0"/>
    <n v="13"/>
    <s v="Monday"/>
    <n v="0"/>
  </r>
  <r>
    <s v="TXN0000000138"/>
    <d v="2024-08-15T07:34:00"/>
    <s v="P2P"/>
    <s v="Entertainment"/>
    <n v="223"/>
    <s v="SUCCESS"/>
    <s v="26-35"/>
    <s v="26-35"/>
    <s v="Telangana"/>
    <s v="SBI"/>
    <s v="SBI"/>
    <s v="Android"/>
    <s v="5G"/>
    <n v="0"/>
    <n v="7"/>
    <s v="Thursday"/>
    <n v="0"/>
  </r>
  <r>
    <s v="TXN0000000139"/>
    <d v="2024-11-07T15:35:00"/>
    <s v="Bill Payment"/>
    <s v="Fuel"/>
    <n v="4864"/>
    <s v="SUCCESS"/>
    <s v="46-55"/>
    <s v="36-45"/>
    <s v="Maharashtra"/>
    <s v="Kotak"/>
    <s v="SBI"/>
    <s v="iOS"/>
    <s v="WiFi"/>
    <n v="0"/>
    <n v="15"/>
    <s v="Thursday"/>
    <n v="0"/>
  </r>
  <r>
    <s v="TXN0000000140"/>
    <d v="2024-09-04T16:28:00"/>
    <s v="P2M"/>
    <s v="Food"/>
    <n v="2350"/>
    <s v="SUCCESS"/>
    <s v="26-35"/>
    <s v="26-35"/>
    <s v="Delhi"/>
    <s v="SBI"/>
    <s v="IndusInd"/>
    <s v="Android"/>
    <s v="5G"/>
    <n v="0"/>
    <n v="16"/>
    <s v="Wednesday"/>
    <n v="0"/>
  </r>
  <r>
    <s v="TXN0000000141"/>
    <d v="2024-04-09T14:17:00"/>
    <s v="P2M"/>
    <s v="Utilities"/>
    <n v="284"/>
    <s v="SUCCESS"/>
    <s v="26-35"/>
    <s v="26-35"/>
    <s v="Telangana"/>
    <s v="SBI"/>
    <s v="Kotak"/>
    <s v="Android"/>
    <s v="4G"/>
    <n v="0"/>
    <n v="14"/>
    <s v="Tuesday"/>
    <n v="0"/>
  </r>
  <r>
    <s v="TXN0000000142"/>
    <d v="2024-06-22T23:08:00"/>
    <s v="P2P"/>
    <s v="Shopping"/>
    <n v="1174"/>
    <s v="SUCCESS"/>
    <s v="36-45"/>
    <s v="46-55"/>
    <s v="West Bengal"/>
    <s v="IndusInd"/>
    <s v="HDFC"/>
    <s v="Android"/>
    <s v="4G"/>
    <n v="0"/>
    <n v="23"/>
    <s v="Saturday"/>
    <n v="1"/>
  </r>
  <r>
    <s v="TXN0000000143"/>
    <d v="2024-08-15T19:38:00"/>
    <s v="P2P"/>
    <s v="Shopping"/>
    <n v="1773"/>
    <s v="SUCCESS"/>
    <s v="46-55"/>
    <s v="36-45"/>
    <s v="Maharashtra"/>
    <s v="IndusInd"/>
    <s v="ICICI"/>
    <s v="Android"/>
    <s v="4G"/>
    <n v="0"/>
    <n v="19"/>
    <s v="Thursday"/>
    <n v="0"/>
  </r>
  <r>
    <s v="TXN0000000144"/>
    <d v="2024-01-07T09:55:00"/>
    <s v="P2P"/>
    <s v="Grocery"/>
    <n v="2839"/>
    <s v="SUCCESS"/>
    <s v="26-35"/>
    <s v="26-35"/>
    <s v="Uttar Pradesh"/>
    <s v="HDFC"/>
    <s v="SBI"/>
    <s v="iOS"/>
    <s v="4G"/>
    <n v="0"/>
    <n v="9"/>
    <s v="Sunday"/>
    <n v="1"/>
  </r>
  <r>
    <s v="TXN0000000145"/>
    <d v="2024-06-13T08:59:00"/>
    <s v="P2P"/>
    <s v="Shopping"/>
    <n v="3757"/>
    <s v="SUCCESS"/>
    <s v="46-55"/>
    <s v="26-35"/>
    <s v="Uttar Pradesh"/>
    <s v="SBI"/>
    <s v="SBI"/>
    <s v="Android"/>
    <s v="4G"/>
    <n v="0"/>
    <n v="8"/>
    <s v="Thursday"/>
    <n v="0"/>
  </r>
  <r>
    <s v="TXN0000000146"/>
    <d v="2024-10-14T12:46:00"/>
    <s v="P2P"/>
    <s v="Grocery"/>
    <n v="599"/>
    <s v="SUCCESS"/>
    <s v="46-55"/>
    <s v="26-35"/>
    <s v="Uttar Pradesh"/>
    <s v="ICICI"/>
    <s v="ICICI"/>
    <s v="Android"/>
    <s v="4G"/>
    <n v="0"/>
    <n v="12"/>
    <s v="Monday"/>
    <n v="0"/>
  </r>
  <r>
    <s v="TXN0000000147"/>
    <d v="2024-02-18T16:12:00"/>
    <s v="P2P"/>
    <s v="Healthcare"/>
    <n v="720"/>
    <s v="SUCCESS"/>
    <s v="26-35"/>
    <s v="18-25"/>
    <s v="Gujarat"/>
    <s v="PNB"/>
    <s v="ICICI"/>
    <s v="iOS"/>
    <s v="4G"/>
    <n v="0"/>
    <n v="16"/>
    <s v="Sunday"/>
    <n v="1"/>
  </r>
  <r>
    <s v="TXN0000000148"/>
    <d v="2024-05-05T12:38:00"/>
    <s v="P2M"/>
    <s v="Food"/>
    <n v="646"/>
    <s v="SUCCESS"/>
    <s v="26-35"/>
    <s v="36-45"/>
    <s v="Rajasthan"/>
    <s v="IndusInd"/>
    <s v="SBI"/>
    <s v="Android"/>
    <s v="5G"/>
    <n v="0"/>
    <n v="12"/>
    <s v="Sunday"/>
    <n v="1"/>
  </r>
  <r>
    <s v="TXN0000000149"/>
    <d v="2024-06-06T19:51:00"/>
    <s v="P2M"/>
    <s v="Food"/>
    <n v="211"/>
    <s v="SUCCESS"/>
    <s v="26-35"/>
    <s v="18-25"/>
    <s v="Delhi"/>
    <s v="SBI"/>
    <s v="SBI"/>
    <s v="iOS"/>
    <s v="4G"/>
    <n v="0"/>
    <n v="19"/>
    <s v="Thursday"/>
    <n v="0"/>
  </r>
  <r>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TXN0000000001"/>
    <d v="2024-10-08T15:17:00"/>
    <x v="0"/>
    <x v="0"/>
    <n v="868"/>
    <s v="SUCCESS"/>
    <x v="0"/>
    <s v="18-25"/>
    <x v="0"/>
    <x v="0"/>
    <x v="0"/>
    <s v="SBI"/>
    <s v="Android"/>
    <s v="4G"/>
    <n v="0"/>
    <x v="0"/>
    <s v="Tuesday"/>
    <x v="0"/>
  </r>
  <r>
    <s v="TXN0000000002"/>
    <d v="2024-04-11T06:56:00"/>
    <x v="1"/>
    <x v="1"/>
    <n v="1011"/>
    <s v="SUCCESS"/>
    <x v="0"/>
    <s v="26-35"/>
    <x v="0"/>
    <x v="1"/>
    <x v="1"/>
    <s v="Axis"/>
    <s v="iOS"/>
    <s v="4G"/>
    <n v="0"/>
    <x v="1"/>
    <s v="Thursday"/>
    <x v="0"/>
  </r>
  <r>
    <s v="TXN0000000003"/>
    <d v="2024-04-02T13:27:00"/>
    <x v="0"/>
    <x v="1"/>
    <n v="477"/>
    <s v="SUCCESS"/>
    <x v="0"/>
    <s v="36-45"/>
    <x v="0"/>
    <x v="2"/>
    <x v="2"/>
    <s v="PNB"/>
    <s v="Android"/>
    <s v="4G"/>
    <n v="0"/>
    <x v="2"/>
    <s v="Tuesday"/>
    <x v="0"/>
  </r>
  <r>
    <s v="TXN0000000004"/>
    <d v="2024-01-07T10:09:00"/>
    <x v="0"/>
    <x v="2"/>
    <n v="2784"/>
    <s v="SUCCESS"/>
    <x v="0"/>
    <s v="26-35"/>
    <x v="0"/>
    <x v="0"/>
    <x v="1"/>
    <s v="PNB"/>
    <s v="Android"/>
    <s v="5G"/>
    <n v="0"/>
    <x v="3"/>
    <s v="Sunday"/>
    <x v="1"/>
  </r>
  <r>
    <s v="TXN0000000005"/>
    <d v="2024-01-23T19:04:00"/>
    <x v="0"/>
    <x v="3"/>
    <n v="990"/>
    <s v="SUCCESS"/>
    <x v="0"/>
    <s v="18-25"/>
    <x v="0"/>
    <x v="0"/>
    <x v="0"/>
    <s v="Yes Bank"/>
    <s v="iOS"/>
    <s v="WiFi"/>
    <n v="0"/>
    <x v="4"/>
    <s v="Tuesday"/>
    <x v="0"/>
  </r>
  <r>
    <s v="TXN0000000006"/>
    <d v="2024-10-07T22:32:00"/>
    <x v="0"/>
    <x v="4"/>
    <n v="91"/>
    <s v="SUCCESS"/>
    <x v="1"/>
    <s v="18-25"/>
    <x v="0"/>
    <x v="2"/>
    <x v="3"/>
    <s v="Yes Bank"/>
    <s v="Android"/>
    <s v="3G"/>
    <n v="0"/>
    <x v="5"/>
    <s v="Monday"/>
    <x v="0"/>
  </r>
  <r>
    <s v="TXN0000000007"/>
    <d v="2024-02-08T10:25:00"/>
    <x v="0"/>
    <x v="5"/>
    <n v="314"/>
    <s v="SUCCESS"/>
    <x v="1"/>
    <s v="18-25"/>
    <x v="0"/>
    <x v="3"/>
    <x v="4"/>
    <s v="IndusInd"/>
    <s v="Android"/>
    <s v="4G"/>
    <n v="0"/>
    <x v="3"/>
    <s v="Thursday"/>
    <x v="0"/>
  </r>
  <r>
    <s v="TXN0000000008"/>
    <d v="2024-10-27T18:47:00"/>
    <x v="0"/>
    <x v="6"/>
    <n v="264"/>
    <s v="SUCCESS"/>
    <x v="2"/>
    <s v="36-45"/>
    <x v="0"/>
    <x v="4"/>
    <x v="2"/>
    <s v="SBI"/>
    <s v="Android"/>
    <s v="5G"/>
    <n v="0"/>
    <x v="6"/>
    <s v="Sunday"/>
    <x v="1"/>
  </r>
  <r>
    <s v="TXN0000000009"/>
    <d v="2024-11-21T09:39:00"/>
    <x v="0"/>
    <x v="5"/>
    <n v="887"/>
    <s v="SUCCESS"/>
    <x v="2"/>
    <s v="36-45"/>
    <x v="0"/>
    <x v="4"/>
    <x v="5"/>
    <s v="HDFC"/>
    <s v="Android"/>
    <s v="4G"/>
    <n v="0"/>
    <x v="7"/>
    <s v="Thursday"/>
    <x v="0"/>
  </r>
  <r>
    <s v="TXN0000000010"/>
    <d v="2024-11-11T15:58:00"/>
    <x v="1"/>
    <x v="1"/>
    <n v="3260"/>
    <s v="SUCCESS"/>
    <x v="2"/>
    <s v="18-25"/>
    <x v="0"/>
    <x v="0"/>
    <x v="6"/>
    <s v="HDFC"/>
    <s v="Android"/>
    <s v="4G"/>
    <n v="0"/>
    <x v="0"/>
    <s v="Monday"/>
    <x v="0"/>
  </r>
  <r>
    <s v="TXN0000000011"/>
    <d v="2024-04-07T20:14:00"/>
    <x v="0"/>
    <x v="4"/>
    <n v="587"/>
    <s v="SUCCESS"/>
    <x v="0"/>
    <s v="46-55"/>
    <x v="0"/>
    <x v="2"/>
    <x v="6"/>
    <s v="SBI"/>
    <s v="Android"/>
    <s v="4G"/>
    <n v="0"/>
    <x v="8"/>
    <s v="Sunday"/>
    <x v="1"/>
  </r>
  <r>
    <s v="TXN0000000012"/>
    <d v="2024-12-24T10:44:00"/>
    <x v="1"/>
    <x v="5"/>
    <n v="518"/>
    <s v="SUCCESS"/>
    <x v="0"/>
    <s v="18-25"/>
    <x v="0"/>
    <x v="5"/>
    <x v="2"/>
    <s v="SBI"/>
    <s v="Android"/>
    <s v="4G"/>
    <n v="0"/>
    <x v="3"/>
    <s v="Tuesday"/>
    <x v="0"/>
  </r>
  <r>
    <s v="TXN0000000013"/>
    <d v="2024-11-16T20:09:00"/>
    <x v="0"/>
    <x v="7"/>
    <n v="73"/>
    <s v="SUCCESS"/>
    <x v="0"/>
    <s v="18-25"/>
    <x v="0"/>
    <x v="1"/>
    <x v="0"/>
    <s v="Kotak"/>
    <s v="Android"/>
    <s v="4G"/>
    <n v="0"/>
    <x v="8"/>
    <s v="Saturday"/>
    <x v="1"/>
  </r>
  <r>
    <s v="TXN0000000014"/>
    <d v="2024-04-10T00:51:00"/>
    <x v="2"/>
    <x v="1"/>
    <n v="430"/>
    <s v="SUCCESS"/>
    <x v="3"/>
    <s v="36-45"/>
    <x v="0"/>
    <x v="5"/>
    <x v="2"/>
    <s v="Yes Bank"/>
    <s v="Android"/>
    <s v="4G"/>
    <n v="0"/>
    <x v="9"/>
    <s v="Wednesday"/>
    <x v="0"/>
  </r>
  <r>
    <s v="TXN0000000015"/>
    <d v="2024-02-03T12:35:00"/>
    <x v="0"/>
    <x v="7"/>
    <n v="544"/>
    <s v="SUCCESS"/>
    <x v="4"/>
    <s v="46-55"/>
    <x v="0"/>
    <x v="1"/>
    <x v="3"/>
    <s v="Axis"/>
    <s v="Android"/>
    <s v="5G"/>
    <n v="0"/>
    <x v="10"/>
    <s v="Saturday"/>
    <x v="1"/>
  </r>
  <r>
    <s v="TXN0000000016"/>
    <d v="2024-11-09T15:21:00"/>
    <x v="1"/>
    <x v="1"/>
    <n v="1346"/>
    <s v="SUCCESS"/>
    <x v="4"/>
    <s v="18-25"/>
    <x v="0"/>
    <x v="6"/>
    <x v="6"/>
    <s v="SBI"/>
    <s v="Android"/>
    <s v="5G"/>
    <n v="0"/>
    <x v="0"/>
    <s v="Saturday"/>
    <x v="1"/>
  </r>
  <r>
    <s v="TXN0000000017"/>
    <d v="2024-01-25T07:27:00"/>
    <x v="0"/>
    <x v="4"/>
    <n v="171"/>
    <s v="SUCCESS"/>
    <x v="2"/>
    <s v="18-25"/>
    <x v="0"/>
    <x v="0"/>
    <x v="4"/>
    <s v="SBI"/>
    <s v="Android"/>
    <s v="5G"/>
    <n v="0"/>
    <x v="11"/>
    <s v="Thursday"/>
    <x v="0"/>
  </r>
  <r>
    <s v="TXN0000000018"/>
    <d v="2024-05-19T18:38:00"/>
    <x v="1"/>
    <x v="8"/>
    <n v="189"/>
    <s v="SUCCESS"/>
    <x v="4"/>
    <s v="18-25"/>
    <x v="0"/>
    <x v="5"/>
    <x v="6"/>
    <s v="PNB"/>
    <s v="iOS"/>
    <s v="5G"/>
    <n v="0"/>
    <x v="6"/>
    <s v="Sunday"/>
    <x v="1"/>
  </r>
  <r>
    <s v="TXN0000000019"/>
    <d v="2024-11-11T22:08:00"/>
    <x v="0"/>
    <x v="8"/>
    <n v="799"/>
    <s v="SUCCESS"/>
    <x v="0"/>
    <s v="18-25"/>
    <x v="0"/>
    <x v="2"/>
    <x v="1"/>
    <s v="SBI"/>
    <s v="Android"/>
    <s v="4G"/>
    <n v="0"/>
    <x v="5"/>
    <s v="Monday"/>
    <x v="0"/>
  </r>
  <r>
    <s v="TXN0000000020"/>
    <d v="2024-06-13T18:25:00"/>
    <x v="0"/>
    <x v="6"/>
    <n v="450"/>
    <s v="SUCCESS"/>
    <x v="0"/>
    <s v="36-45"/>
    <x v="0"/>
    <x v="7"/>
    <x v="2"/>
    <s v="IndusInd"/>
    <s v="iOS"/>
    <s v="WiFi"/>
    <n v="0"/>
    <x v="6"/>
    <s v="Thursday"/>
    <x v="0"/>
  </r>
  <r>
    <s v="TXN0000000021"/>
    <d v="2024-05-19T10:41:00"/>
    <x v="2"/>
    <x v="4"/>
    <n v="1341"/>
    <s v="SUCCESS"/>
    <x v="1"/>
    <s v="26-35"/>
    <x v="0"/>
    <x v="2"/>
    <x v="6"/>
    <s v="ICICI"/>
    <s v="Android"/>
    <s v="WiFi"/>
    <n v="0"/>
    <x v="3"/>
    <s v="Sunday"/>
    <x v="1"/>
  </r>
  <r>
    <s v="TXN0000000022"/>
    <d v="2024-11-02T17:13:00"/>
    <x v="3"/>
    <x v="0"/>
    <n v="280"/>
    <s v="SUCCESS"/>
    <x v="0"/>
    <s v="26-35"/>
    <x v="0"/>
    <x v="4"/>
    <x v="6"/>
    <s v="PNB"/>
    <s v="Android"/>
    <s v="4G"/>
    <n v="0"/>
    <x v="12"/>
    <s v="Saturday"/>
    <x v="1"/>
  </r>
  <r>
    <s v="TXN0000000023"/>
    <d v="2024-10-18T04:35:00"/>
    <x v="0"/>
    <x v="3"/>
    <n v="397"/>
    <s v="SUCCESS"/>
    <x v="4"/>
    <s v="26-35"/>
    <x v="0"/>
    <x v="0"/>
    <x v="0"/>
    <s v="SBI"/>
    <s v="Android"/>
    <s v="5G"/>
    <n v="0"/>
    <x v="13"/>
    <s v="Friday"/>
    <x v="0"/>
  </r>
  <r>
    <s v="TXN0000000024"/>
    <d v="2024-01-21T07:57:00"/>
    <x v="1"/>
    <x v="1"/>
    <n v="1847"/>
    <s v="SUCCESS"/>
    <x v="4"/>
    <s v="46-55"/>
    <x v="0"/>
    <x v="5"/>
    <x v="4"/>
    <s v="Yes Bank"/>
    <s v="Android"/>
    <s v="5G"/>
    <n v="0"/>
    <x v="11"/>
    <s v="Sunday"/>
    <x v="1"/>
  </r>
  <r>
    <s v="TXN0000000025"/>
    <d v="2024-01-24T10:43:00"/>
    <x v="2"/>
    <x v="1"/>
    <n v="690"/>
    <s v="SUCCESS"/>
    <x v="0"/>
    <s v="26-35"/>
    <x v="0"/>
    <x v="7"/>
    <x v="2"/>
    <s v="PNB"/>
    <s v="iOS"/>
    <s v="5G"/>
    <n v="0"/>
    <x v="3"/>
    <s v="Wednesday"/>
    <x v="0"/>
  </r>
  <r>
    <s v="TXN0000000026"/>
    <d v="2024-07-01T12:01:00"/>
    <x v="2"/>
    <x v="0"/>
    <n v="218"/>
    <s v="SUCCESS"/>
    <x v="4"/>
    <s v="36-45"/>
    <x v="0"/>
    <x v="2"/>
    <x v="0"/>
    <s v="Yes Bank"/>
    <s v="Android"/>
    <s v="4G"/>
    <n v="0"/>
    <x v="10"/>
    <s v="Monday"/>
    <x v="0"/>
  </r>
  <r>
    <s v="TXN0000000027"/>
    <d v="2024-08-28T21:10:00"/>
    <x v="0"/>
    <x v="4"/>
    <n v="1276"/>
    <s v="SUCCESS"/>
    <x v="4"/>
    <s v="18-25"/>
    <x v="0"/>
    <x v="2"/>
    <x v="5"/>
    <s v="HDFC"/>
    <s v="Android"/>
    <s v="5G"/>
    <n v="0"/>
    <x v="14"/>
    <s v="Wednesday"/>
    <x v="0"/>
  </r>
  <r>
    <s v="TXN0000000028"/>
    <d v="2024-11-09T18:49:00"/>
    <x v="0"/>
    <x v="1"/>
    <n v="146"/>
    <s v="SUCCESS"/>
    <x v="0"/>
    <s v="36-45"/>
    <x v="0"/>
    <x v="0"/>
    <x v="7"/>
    <s v="HDFC"/>
    <s v="iOS"/>
    <s v="4G"/>
    <n v="0"/>
    <x v="6"/>
    <s v="Saturday"/>
    <x v="1"/>
  </r>
  <r>
    <s v="TXN0000000029"/>
    <d v="2024-09-09T15:24:00"/>
    <x v="0"/>
    <x v="1"/>
    <n v="1755"/>
    <s v="SUCCESS"/>
    <x v="1"/>
    <s v="36-45"/>
    <x v="0"/>
    <x v="0"/>
    <x v="6"/>
    <s v="IndusInd"/>
    <s v="Web"/>
    <s v="WiFi"/>
    <n v="0"/>
    <x v="0"/>
    <s v="Monday"/>
    <x v="0"/>
  </r>
  <r>
    <s v="TXN0000000030"/>
    <d v="2024-10-18T17:43:00"/>
    <x v="2"/>
    <x v="7"/>
    <n v="165"/>
    <s v="SUCCESS"/>
    <x v="4"/>
    <s v="26-35"/>
    <x v="0"/>
    <x v="6"/>
    <x v="6"/>
    <s v="SBI"/>
    <s v="Android"/>
    <s v="4G"/>
    <n v="0"/>
    <x v="12"/>
    <s v="Friday"/>
    <x v="0"/>
  </r>
  <r>
    <s v="TXN0000000031"/>
    <d v="2024-12-20T16:15:00"/>
    <x v="0"/>
    <x v="8"/>
    <n v="1495"/>
    <s v="SUCCESS"/>
    <x v="0"/>
    <s v="36-45"/>
    <x v="0"/>
    <x v="5"/>
    <x v="6"/>
    <s v="HDFC"/>
    <s v="Android"/>
    <s v="4G"/>
    <n v="0"/>
    <x v="15"/>
    <s v="Friday"/>
    <x v="0"/>
  </r>
  <r>
    <s v="TXN0000000032"/>
    <d v="2024-12-17T16:45:00"/>
    <x v="0"/>
    <x v="1"/>
    <n v="394"/>
    <s v="SUCCESS"/>
    <x v="4"/>
    <s v="18-25"/>
    <x v="0"/>
    <x v="5"/>
    <x v="2"/>
    <s v="SBI"/>
    <s v="Android"/>
    <s v="5G"/>
    <n v="0"/>
    <x v="15"/>
    <s v="Tuesday"/>
    <x v="0"/>
  </r>
  <r>
    <s v="TXN0000000033"/>
    <d v="2024-05-11T16:47:00"/>
    <x v="3"/>
    <x v="3"/>
    <n v="1693"/>
    <s v="SUCCESS"/>
    <x v="0"/>
    <s v="36-45"/>
    <x v="0"/>
    <x v="3"/>
    <x v="6"/>
    <s v="IndusInd"/>
    <s v="Android"/>
    <s v="5G"/>
    <n v="0"/>
    <x v="15"/>
    <s v="Saturday"/>
    <x v="1"/>
  </r>
  <r>
    <s v="TXN0000000034"/>
    <d v="2024-05-25T13:30:00"/>
    <x v="1"/>
    <x v="4"/>
    <n v="144"/>
    <s v="SUCCESS"/>
    <x v="4"/>
    <s v="36-45"/>
    <x v="0"/>
    <x v="4"/>
    <x v="7"/>
    <s v="PNB"/>
    <s v="Android"/>
    <s v="WiFi"/>
    <n v="0"/>
    <x v="2"/>
    <s v="Saturday"/>
    <x v="1"/>
  </r>
  <r>
    <s v="TXN0000000035"/>
    <d v="2024-02-23T07:27:00"/>
    <x v="1"/>
    <x v="2"/>
    <n v="1804"/>
    <s v="SUCCESS"/>
    <x v="1"/>
    <s v="26-35"/>
    <x v="0"/>
    <x v="3"/>
    <x v="0"/>
    <s v="SBI"/>
    <s v="Android"/>
    <s v="4G"/>
    <n v="0"/>
    <x v="11"/>
    <s v="Friday"/>
    <x v="0"/>
  </r>
  <r>
    <s v="TXN0000000036"/>
    <d v="2024-04-19T22:12:00"/>
    <x v="0"/>
    <x v="2"/>
    <n v="721"/>
    <s v="SUCCESS"/>
    <x v="2"/>
    <s v="18-25"/>
    <x v="0"/>
    <x v="5"/>
    <x v="4"/>
    <s v="ICICI"/>
    <s v="Android"/>
    <s v="3G"/>
    <n v="0"/>
    <x v="5"/>
    <s v="Friday"/>
    <x v="0"/>
  </r>
  <r>
    <s v="TXN0000000037"/>
    <d v="2024-07-26T17:09:00"/>
    <x v="1"/>
    <x v="3"/>
    <n v="7987"/>
    <s v="SUCCESS"/>
    <x v="4"/>
    <s v="36-45"/>
    <x v="0"/>
    <x v="4"/>
    <x v="3"/>
    <s v="IndusInd"/>
    <s v="Android"/>
    <s v="4G"/>
    <n v="0"/>
    <x v="12"/>
    <s v="Friday"/>
    <x v="0"/>
  </r>
  <r>
    <s v="TXN0000000038"/>
    <d v="2024-08-16T21:26:00"/>
    <x v="2"/>
    <x v="3"/>
    <n v="5154"/>
    <s v="SUCCESS"/>
    <x v="3"/>
    <s v="36-45"/>
    <x v="0"/>
    <x v="1"/>
    <x v="1"/>
    <s v="SBI"/>
    <s v="Web"/>
    <s v="5G"/>
    <n v="0"/>
    <x v="14"/>
    <s v="Friday"/>
    <x v="0"/>
  </r>
  <r>
    <s v="TXN0000000039"/>
    <d v="2024-07-23T17:02:00"/>
    <x v="0"/>
    <x v="0"/>
    <n v="131"/>
    <s v="SUCCESS"/>
    <x v="1"/>
    <s v="18-25"/>
    <x v="0"/>
    <x v="8"/>
    <x v="2"/>
    <s v="SBI"/>
    <s v="Web"/>
    <s v="5G"/>
    <n v="0"/>
    <x v="12"/>
    <s v="Tuesday"/>
    <x v="0"/>
  </r>
  <r>
    <s v="TXN0000000040"/>
    <d v="2024-02-27T01:43:00"/>
    <x v="1"/>
    <x v="8"/>
    <n v="192"/>
    <s v="SUCCESS"/>
    <x v="0"/>
    <s v="26-35"/>
    <x v="0"/>
    <x v="2"/>
    <x v="6"/>
    <s v="SBI"/>
    <s v="Android"/>
    <s v="5G"/>
    <n v="0"/>
    <x v="16"/>
    <s v="Tuesday"/>
    <x v="0"/>
  </r>
  <r>
    <s v="TXN0000000041"/>
    <d v="2024-01-24T10:28:00"/>
    <x v="3"/>
    <x v="4"/>
    <n v="82"/>
    <s v="SUCCESS"/>
    <x v="3"/>
    <s v="18-25"/>
    <x v="0"/>
    <x v="5"/>
    <x v="4"/>
    <s v="SBI"/>
    <s v="Android"/>
    <s v="5G"/>
    <n v="0"/>
    <x v="3"/>
    <s v="Wednesday"/>
    <x v="0"/>
  </r>
  <r>
    <s v="TXN0000000042"/>
    <d v="2024-10-29T12:54:00"/>
    <x v="1"/>
    <x v="3"/>
    <n v="4309"/>
    <s v="SUCCESS"/>
    <x v="3"/>
    <s v="36-45"/>
    <x v="0"/>
    <x v="4"/>
    <x v="5"/>
    <s v="HDFC"/>
    <s v="Android"/>
    <s v="4G"/>
    <n v="0"/>
    <x v="10"/>
    <s v="Tuesday"/>
    <x v="0"/>
  </r>
  <r>
    <s v="TXN0000000043"/>
    <d v="2024-01-18T13:49:00"/>
    <x v="0"/>
    <x v="6"/>
    <n v="2338"/>
    <s v="SUCCESS"/>
    <x v="0"/>
    <s v="56+"/>
    <x v="0"/>
    <x v="5"/>
    <x v="0"/>
    <s v="SBI"/>
    <s v="Android"/>
    <s v="5G"/>
    <n v="0"/>
    <x v="2"/>
    <s v="Thursday"/>
    <x v="0"/>
  </r>
  <r>
    <s v="TXN0000000044"/>
    <d v="2024-02-17T14:03:00"/>
    <x v="1"/>
    <x v="4"/>
    <n v="292"/>
    <s v="SUCCESS"/>
    <x v="3"/>
    <s v="26-35"/>
    <x v="0"/>
    <x v="7"/>
    <x v="6"/>
    <s v="SBI"/>
    <s v="Android"/>
    <s v="4G"/>
    <n v="0"/>
    <x v="17"/>
    <s v="Saturday"/>
    <x v="1"/>
  </r>
  <r>
    <s v="TXN0000000045"/>
    <d v="2024-09-08T09:21:00"/>
    <x v="0"/>
    <x v="1"/>
    <n v="765"/>
    <s v="SUCCESS"/>
    <x v="4"/>
    <s v="36-45"/>
    <x v="0"/>
    <x v="4"/>
    <x v="6"/>
    <s v="Yes Bank"/>
    <s v="iOS"/>
    <s v="WiFi"/>
    <n v="0"/>
    <x v="7"/>
    <s v="Sunday"/>
    <x v="1"/>
  </r>
  <r>
    <s v="TXN0000000046"/>
    <d v="2024-09-29T21:04:00"/>
    <x v="0"/>
    <x v="7"/>
    <n v="51"/>
    <s v="SUCCESS"/>
    <x v="4"/>
    <s v="36-45"/>
    <x v="0"/>
    <x v="1"/>
    <x v="0"/>
    <s v="IndusInd"/>
    <s v="iOS"/>
    <s v="4G"/>
    <n v="0"/>
    <x v="14"/>
    <s v="Sunday"/>
    <x v="1"/>
  </r>
  <r>
    <s v="TXN0000000047"/>
    <d v="2024-03-04T09:35:00"/>
    <x v="2"/>
    <x v="4"/>
    <n v="144"/>
    <s v="SUCCESS"/>
    <x v="4"/>
    <s v="18-25"/>
    <x v="0"/>
    <x v="0"/>
    <x v="2"/>
    <s v="Axis"/>
    <s v="Android"/>
    <s v="WiFi"/>
    <n v="0"/>
    <x v="7"/>
    <s v="Monday"/>
    <x v="0"/>
  </r>
  <r>
    <s v="TXN0000000048"/>
    <d v="2024-02-06T17:19:00"/>
    <x v="0"/>
    <x v="5"/>
    <n v="994"/>
    <s v="SUCCESS"/>
    <x v="4"/>
    <s v="36-45"/>
    <x v="0"/>
    <x v="1"/>
    <x v="7"/>
    <s v="SBI"/>
    <s v="Android"/>
    <s v="5G"/>
    <n v="0"/>
    <x v="12"/>
    <s v="Tuesday"/>
    <x v="0"/>
  </r>
  <r>
    <s v="TXN0000000049"/>
    <d v="2024-05-25T17:14:00"/>
    <x v="0"/>
    <x v="3"/>
    <n v="2393"/>
    <s v="SUCCESS"/>
    <x v="0"/>
    <s v="26-35"/>
    <x v="0"/>
    <x v="4"/>
    <x v="1"/>
    <s v="ICICI"/>
    <s v="Android"/>
    <s v="5G"/>
    <n v="0"/>
    <x v="12"/>
    <s v="Saturday"/>
    <x v="1"/>
  </r>
  <r>
    <s v="TXN0000000050"/>
    <d v="2024-02-29T18:47:00"/>
    <x v="0"/>
    <x v="5"/>
    <n v="864"/>
    <s v="SUCCESS"/>
    <x v="1"/>
    <s v="46-55"/>
    <x v="0"/>
    <x v="8"/>
    <x v="2"/>
    <s v="SBI"/>
    <s v="Android"/>
    <s v="4G"/>
    <n v="0"/>
    <x v="6"/>
    <s v="Thursday"/>
    <x v="0"/>
  </r>
  <r>
    <s v="TXN0000000051"/>
    <d v="2024-12-05T18:42:00"/>
    <x v="0"/>
    <x v="7"/>
    <n v="36"/>
    <s v="SUCCESS"/>
    <x v="1"/>
    <s v="36-45"/>
    <x v="0"/>
    <x v="5"/>
    <x v="1"/>
    <s v="IndusInd"/>
    <s v="Android"/>
    <s v="WiFi"/>
    <n v="0"/>
    <x v="6"/>
    <s v="Thursday"/>
    <x v="0"/>
  </r>
  <r>
    <s v="TXN0000000052"/>
    <d v="2024-02-15T10:52:00"/>
    <x v="1"/>
    <x v="6"/>
    <n v="582"/>
    <s v="SUCCESS"/>
    <x v="4"/>
    <s v="18-25"/>
    <x v="0"/>
    <x v="0"/>
    <x v="7"/>
    <s v="IndusInd"/>
    <s v="Android"/>
    <s v="4G"/>
    <n v="0"/>
    <x v="3"/>
    <s v="Thursday"/>
    <x v="0"/>
  </r>
  <r>
    <s v="TXN0000000053"/>
    <d v="2024-08-31T15:47:00"/>
    <x v="0"/>
    <x v="5"/>
    <n v="364"/>
    <s v="SUCCESS"/>
    <x v="1"/>
    <s v="26-35"/>
    <x v="0"/>
    <x v="5"/>
    <x v="6"/>
    <s v="HDFC"/>
    <s v="iOS"/>
    <s v="4G"/>
    <n v="0"/>
    <x v="0"/>
    <s v="Saturday"/>
    <x v="1"/>
  </r>
  <r>
    <s v="TXN0000000054"/>
    <d v="2024-01-11T18:25:00"/>
    <x v="0"/>
    <x v="5"/>
    <n v="203"/>
    <s v="SUCCESS"/>
    <x v="1"/>
    <s v="18-25"/>
    <x v="0"/>
    <x v="0"/>
    <x v="6"/>
    <s v="IndusInd"/>
    <s v="Android"/>
    <s v="4G"/>
    <n v="0"/>
    <x v="6"/>
    <s v="Thursday"/>
    <x v="0"/>
  </r>
  <r>
    <s v="TXN0000000055"/>
    <d v="2024-04-29T18:29:00"/>
    <x v="1"/>
    <x v="3"/>
    <n v="4987"/>
    <s v="SUCCESS"/>
    <x v="3"/>
    <s v="26-35"/>
    <x v="0"/>
    <x v="2"/>
    <x v="7"/>
    <s v="Yes Bank"/>
    <s v="iOS"/>
    <s v="4G"/>
    <n v="0"/>
    <x v="6"/>
    <s v="Monday"/>
    <x v="0"/>
  </r>
  <r>
    <s v="TXN0000000056"/>
    <d v="2024-09-13T10:41:00"/>
    <x v="0"/>
    <x v="0"/>
    <n v="213"/>
    <s v="SUCCESS"/>
    <x v="0"/>
    <s v="18-25"/>
    <x v="0"/>
    <x v="8"/>
    <x v="4"/>
    <s v="Yes Bank"/>
    <s v="Android"/>
    <s v="4G"/>
    <n v="0"/>
    <x v="3"/>
    <s v="Friday"/>
    <x v="0"/>
  </r>
  <r>
    <s v="TXN0000000057"/>
    <d v="2024-10-07T05:43:00"/>
    <x v="1"/>
    <x v="8"/>
    <n v="1315"/>
    <s v="SUCCESS"/>
    <x v="0"/>
    <s v="18-25"/>
    <x v="0"/>
    <x v="8"/>
    <x v="4"/>
    <s v="PNB"/>
    <s v="Android"/>
    <s v="4G"/>
    <n v="0"/>
    <x v="18"/>
    <s v="Monday"/>
    <x v="0"/>
  </r>
  <r>
    <s v="TXN0000000058"/>
    <d v="2024-01-16T21:57:00"/>
    <x v="0"/>
    <x v="1"/>
    <n v="2685"/>
    <s v="SUCCESS"/>
    <x v="1"/>
    <s v="26-35"/>
    <x v="0"/>
    <x v="5"/>
    <x v="6"/>
    <s v="Kotak"/>
    <s v="Android"/>
    <s v="4G"/>
    <n v="0"/>
    <x v="14"/>
    <s v="Tuesday"/>
    <x v="0"/>
  </r>
  <r>
    <s v="TXN0000000059"/>
    <d v="2024-11-21T15:54:00"/>
    <x v="1"/>
    <x v="0"/>
    <n v="220"/>
    <s v="SUCCESS"/>
    <x v="4"/>
    <s v="18-25"/>
    <x v="0"/>
    <x v="2"/>
    <x v="7"/>
    <s v="ICICI"/>
    <s v="Android"/>
    <s v="4G"/>
    <n v="0"/>
    <x v="0"/>
    <s v="Thursday"/>
    <x v="0"/>
  </r>
  <r>
    <s v="TXN0000000060"/>
    <d v="2024-10-14T19:49:00"/>
    <x v="1"/>
    <x v="2"/>
    <n v="1831"/>
    <s v="SUCCESS"/>
    <x v="1"/>
    <s v="26-35"/>
    <x v="0"/>
    <x v="0"/>
    <x v="7"/>
    <s v="Kotak"/>
    <s v="iOS"/>
    <s v="5G"/>
    <n v="0"/>
    <x v="4"/>
    <s v="Monday"/>
    <x v="0"/>
  </r>
  <r>
    <s v="TXN0000000061"/>
    <d v="2024-09-11T20:20:00"/>
    <x v="0"/>
    <x v="3"/>
    <n v="159"/>
    <s v="FAILED"/>
    <x v="3"/>
    <s v="36-45"/>
    <x v="0"/>
    <x v="7"/>
    <x v="6"/>
    <s v="PNB"/>
    <s v="Android"/>
    <s v="5G"/>
    <n v="0"/>
    <x v="8"/>
    <s v="Wednesday"/>
    <x v="0"/>
  </r>
  <r>
    <s v="TXN0000000062"/>
    <d v="2024-08-25T15:26:00"/>
    <x v="0"/>
    <x v="0"/>
    <n v="475"/>
    <s v="SUCCESS"/>
    <x v="4"/>
    <s v="18-25"/>
    <x v="0"/>
    <x v="2"/>
    <x v="1"/>
    <s v="HDFC"/>
    <s v="Android"/>
    <s v="4G"/>
    <n v="0"/>
    <x v="0"/>
    <s v="Sunday"/>
    <x v="1"/>
  </r>
  <r>
    <s v="TXN0000000063"/>
    <d v="2024-03-15T17:31:00"/>
    <x v="1"/>
    <x v="4"/>
    <n v="351"/>
    <s v="SUCCESS"/>
    <x v="0"/>
    <s v="36-45"/>
    <x v="0"/>
    <x v="1"/>
    <x v="2"/>
    <s v="ICICI"/>
    <s v="Android"/>
    <s v="5G"/>
    <n v="0"/>
    <x v="12"/>
    <s v="Friday"/>
    <x v="0"/>
  </r>
  <r>
    <s v="TXN0000000064"/>
    <d v="2024-01-12T08:34:00"/>
    <x v="0"/>
    <x v="5"/>
    <n v="726"/>
    <s v="SUCCESS"/>
    <x v="0"/>
    <s v="18-25"/>
    <x v="0"/>
    <x v="1"/>
    <x v="6"/>
    <s v="PNB"/>
    <s v="Android"/>
    <s v="WiFi"/>
    <n v="0"/>
    <x v="19"/>
    <s v="Friday"/>
    <x v="0"/>
  </r>
  <r>
    <s v="TXN0000000065"/>
    <d v="2024-04-29T17:25:00"/>
    <x v="0"/>
    <x v="4"/>
    <n v="386"/>
    <s v="SUCCESS"/>
    <x v="0"/>
    <s v="18-25"/>
    <x v="0"/>
    <x v="1"/>
    <x v="6"/>
    <s v="Yes Bank"/>
    <s v="Android"/>
    <s v="4G"/>
    <n v="0"/>
    <x v="12"/>
    <s v="Monday"/>
    <x v="0"/>
  </r>
  <r>
    <s v="TXN0000000066"/>
    <d v="2024-04-29T17:06:00"/>
    <x v="1"/>
    <x v="4"/>
    <n v="55"/>
    <s v="SUCCESS"/>
    <x v="0"/>
    <s v="18-25"/>
    <x v="0"/>
    <x v="6"/>
    <x v="1"/>
    <s v="ICICI"/>
    <s v="iOS"/>
    <s v="4G"/>
    <n v="0"/>
    <x v="12"/>
    <s v="Monday"/>
    <x v="0"/>
  </r>
  <r>
    <s v="TXN0000000067"/>
    <d v="2024-07-14T05:33:00"/>
    <x v="1"/>
    <x v="5"/>
    <n v="394"/>
    <s v="SUCCESS"/>
    <x v="3"/>
    <s v="46-55"/>
    <x v="0"/>
    <x v="1"/>
    <x v="6"/>
    <s v="ICICI"/>
    <s v="Android"/>
    <s v="4G"/>
    <n v="0"/>
    <x v="18"/>
    <s v="Sunday"/>
    <x v="1"/>
  </r>
  <r>
    <s v="TXN0000000068"/>
    <d v="2024-08-14T18:30:00"/>
    <x v="1"/>
    <x v="3"/>
    <n v="221"/>
    <s v="FAILED"/>
    <x v="2"/>
    <s v="26-35"/>
    <x v="0"/>
    <x v="0"/>
    <x v="4"/>
    <s v="IndusInd"/>
    <s v="iOS"/>
    <s v="5G"/>
    <n v="0"/>
    <x v="6"/>
    <s v="Wednesday"/>
    <x v="0"/>
  </r>
  <r>
    <s v="TXN0000000069"/>
    <d v="2024-11-06T12:39:00"/>
    <x v="2"/>
    <x v="4"/>
    <n v="131"/>
    <s v="SUCCESS"/>
    <x v="0"/>
    <s v="18-25"/>
    <x v="0"/>
    <x v="3"/>
    <x v="0"/>
    <s v="SBI"/>
    <s v="Android"/>
    <s v="4G"/>
    <n v="0"/>
    <x v="10"/>
    <s v="Wednesday"/>
    <x v="0"/>
  </r>
  <r>
    <s v="TXN0000000070"/>
    <d v="2024-04-08T12:29:00"/>
    <x v="1"/>
    <x v="2"/>
    <n v="257"/>
    <s v="SUCCESS"/>
    <x v="3"/>
    <s v="26-35"/>
    <x v="0"/>
    <x v="1"/>
    <x v="7"/>
    <s v="Axis"/>
    <s v="Android"/>
    <s v="5G"/>
    <n v="0"/>
    <x v="10"/>
    <s v="Monday"/>
    <x v="0"/>
  </r>
  <r>
    <s v="TXN0000000071"/>
    <d v="2024-12-14T12:14:00"/>
    <x v="2"/>
    <x v="3"/>
    <n v="183"/>
    <s v="SUCCESS"/>
    <x v="0"/>
    <s v="26-35"/>
    <x v="0"/>
    <x v="5"/>
    <x v="7"/>
    <s v="Yes Bank"/>
    <s v="iOS"/>
    <s v="4G"/>
    <n v="0"/>
    <x v="10"/>
    <s v="Saturday"/>
    <x v="1"/>
  </r>
  <r>
    <s v="TXN0000000072"/>
    <d v="2024-01-27T08:43:00"/>
    <x v="0"/>
    <x v="8"/>
    <n v="1376"/>
    <s v="SUCCESS"/>
    <x v="1"/>
    <s v="36-45"/>
    <x v="0"/>
    <x v="5"/>
    <x v="3"/>
    <s v="Kotak"/>
    <s v="Android"/>
    <s v="4G"/>
    <n v="0"/>
    <x v="19"/>
    <s v="Saturday"/>
    <x v="1"/>
  </r>
  <r>
    <s v="TXN0000000073"/>
    <d v="2024-03-10T16:12:00"/>
    <x v="0"/>
    <x v="5"/>
    <n v="760"/>
    <s v="SUCCESS"/>
    <x v="1"/>
    <s v="36-45"/>
    <x v="0"/>
    <x v="4"/>
    <x v="6"/>
    <s v="SBI"/>
    <s v="Android"/>
    <s v="4G"/>
    <n v="0"/>
    <x v="15"/>
    <s v="Sunday"/>
    <x v="1"/>
  </r>
  <r>
    <s v="TXN0000000074"/>
    <d v="2024-12-04T18:27:00"/>
    <x v="2"/>
    <x v="6"/>
    <n v="2060"/>
    <s v="SUCCESS"/>
    <x v="1"/>
    <s v="46-55"/>
    <x v="0"/>
    <x v="2"/>
    <x v="0"/>
    <s v="ICICI"/>
    <s v="iOS"/>
    <s v="4G"/>
    <n v="0"/>
    <x v="6"/>
    <s v="Wednesday"/>
    <x v="0"/>
  </r>
  <r>
    <s v="TXN0000000075"/>
    <d v="2024-08-29T21:38:00"/>
    <x v="0"/>
    <x v="4"/>
    <n v="929"/>
    <s v="SUCCESS"/>
    <x v="0"/>
    <s v="26-35"/>
    <x v="0"/>
    <x v="8"/>
    <x v="6"/>
    <s v="Yes Bank"/>
    <s v="iOS"/>
    <s v="4G"/>
    <n v="0"/>
    <x v="14"/>
    <s v="Thursday"/>
    <x v="0"/>
  </r>
  <r>
    <s v="TXN0000000076"/>
    <d v="2024-05-19T19:09:00"/>
    <x v="0"/>
    <x v="7"/>
    <n v="89"/>
    <s v="SUCCESS"/>
    <x v="1"/>
    <s v="36-45"/>
    <x v="0"/>
    <x v="2"/>
    <x v="7"/>
    <s v="Kotak"/>
    <s v="Android"/>
    <s v="5G"/>
    <n v="0"/>
    <x v="4"/>
    <s v="Sunday"/>
    <x v="1"/>
  </r>
  <r>
    <s v="TXN0000000077"/>
    <d v="2024-12-16T14:23:00"/>
    <x v="2"/>
    <x v="6"/>
    <n v="417"/>
    <s v="SUCCESS"/>
    <x v="1"/>
    <s v="36-45"/>
    <x v="0"/>
    <x v="3"/>
    <x v="4"/>
    <s v="SBI"/>
    <s v="Android"/>
    <s v="5G"/>
    <n v="0"/>
    <x v="17"/>
    <s v="Monday"/>
    <x v="0"/>
  </r>
  <r>
    <s v="TXN0000000078"/>
    <d v="2024-09-04T20:34:00"/>
    <x v="0"/>
    <x v="6"/>
    <n v="1415"/>
    <s v="SUCCESS"/>
    <x v="1"/>
    <s v="36-45"/>
    <x v="0"/>
    <x v="7"/>
    <x v="1"/>
    <s v="SBI"/>
    <s v="Android"/>
    <s v="4G"/>
    <n v="0"/>
    <x v="8"/>
    <s v="Wednesday"/>
    <x v="0"/>
  </r>
  <r>
    <s v="TXN0000000079"/>
    <d v="2024-09-18T07:14:00"/>
    <x v="1"/>
    <x v="9"/>
    <n v="588"/>
    <s v="SUCCESS"/>
    <x v="0"/>
    <s v="36-45"/>
    <x v="0"/>
    <x v="6"/>
    <x v="2"/>
    <s v="Axis"/>
    <s v="Android"/>
    <s v="4G"/>
    <n v="0"/>
    <x v="11"/>
    <s v="Wednesday"/>
    <x v="0"/>
  </r>
  <r>
    <s v="TXN0000000080"/>
    <d v="2024-11-08T20:26:00"/>
    <x v="1"/>
    <x v="6"/>
    <n v="8335"/>
    <s v="SUCCESS"/>
    <x v="2"/>
    <s v="46-55"/>
    <x v="0"/>
    <x v="8"/>
    <x v="0"/>
    <s v="IndusInd"/>
    <s v="Web"/>
    <s v="4G"/>
    <n v="0"/>
    <x v="8"/>
    <s v="Friday"/>
    <x v="0"/>
  </r>
  <r>
    <s v="TXN0000000081"/>
    <d v="2024-10-20T13:14:00"/>
    <x v="2"/>
    <x v="6"/>
    <n v="4279"/>
    <s v="SUCCESS"/>
    <x v="1"/>
    <s v="36-45"/>
    <x v="0"/>
    <x v="1"/>
    <x v="7"/>
    <s v="SBI"/>
    <s v="Android"/>
    <s v="5G"/>
    <n v="0"/>
    <x v="2"/>
    <s v="Sunday"/>
    <x v="1"/>
  </r>
  <r>
    <s v="TXN0000000082"/>
    <d v="2024-08-03T13:15:00"/>
    <x v="1"/>
    <x v="6"/>
    <n v="318"/>
    <s v="SUCCESS"/>
    <x v="1"/>
    <s v="18-25"/>
    <x v="0"/>
    <x v="9"/>
    <x v="7"/>
    <s v="Axis"/>
    <s v="Android"/>
    <s v="5G"/>
    <n v="0"/>
    <x v="2"/>
    <s v="Saturday"/>
    <x v="1"/>
  </r>
  <r>
    <s v="TXN0000000083"/>
    <d v="2024-01-03T10:03:00"/>
    <x v="1"/>
    <x v="3"/>
    <n v="1496"/>
    <s v="SUCCESS"/>
    <x v="2"/>
    <s v="36-45"/>
    <x v="0"/>
    <x v="1"/>
    <x v="7"/>
    <s v="Kotak"/>
    <s v="Android"/>
    <s v="4G"/>
    <n v="0"/>
    <x v="3"/>
    <s v="Wednesday"/>
    <x v="0"/>
  </r>
  <r>
    <s v="TXN0000000084"/>
    <d v="2024-11-04T18:06:00"/>
    <x v="0"/>
    <x v="6"/>
    <n v="924"/>
    <s v="SUCCESS"/>
    <x v="4"/>
    <s v="36-45"/>
    <x v="0"/>
    <x v="2"/>
    <x v="1"/>
    <s v="ICICI"/>
    <s v="Android"/>
    <s v="4G"/>
    <n v="0"/>
    <x v="6"/>
    <s v="Monday"/>
    <x v="0"/>
  </r>
  <r>
    <s v="TXN0000000085"/>
    <d v="2024-04-30T19:43:00"/>
    <x v="0"/>
    <x v="4"/>
    <n v="291"/>
    <s v="SUCCESS"/>
    <x v="1"/>
    <s v="46-55"/>
    <x v="0"/>
    <x v="4"/>
    <x v="4"/>
    <s v="ICICI"/>
    <s v="Web"/>
    <s v="4G"/>
    <n v="0"/>
    <x v="4"/>
    <s v="Tuesday"/>
    <x v="0"/>
  </r>
  <r>
    <s v="TXN0000000086"/>
    <d v="2024-09-02T18:42:00"/>
    <x v="2"/>
    <x v="1"/>
    <n v="665"/>
    <s v="SUCCESS"/>
    <x v="1"/>
    <s v="46-55"/>
    <x v="0"/>
    <x v="4"/>
    <x v="5"/>
    <s v="HDFC"/>
    <s v="iOS"/>
    <s v="4G"/>
    <n v="0"/>
    <x v="6"/>
    <s v="Monday"/>
    <x v="0"/>
  </r>
  <r>
    <s v="TXN0000000087"/>
    <d v="2024-01-20T11:01:00"/>
    <x v="0"/>
    <x v="2"/>
    <n v="669"/>
    <s v="SUCCESS"/>
    <x v="1"/>
    <s v="36-45"/>
    <x v="0"/>
    <x v="0"/>
    <x v="6"/>
    <s v="ICICI"/>
    <s v="iOS"/>
    <s v="3G"/>
    <n v="0"/>
    <x v="20"/>
    <s v="Saturday"/>
    <x v="1"/>
  </r>
  <r>
    <s v="TXN0000000088"/>
    <d v="2024-09-27T22:15:00"/>
    <x v="3"/>
    <x v="1"/>
    <n v="1855"/>
    <s v="SUCCESS"/>
    <x v="1"/>
    <s v="36-45"/>
    <x v="0"/>
    <x v="7"/>
    <x v="3"/>
    <s v="ICICI"/>
    <s v="Android"/>
    <s v="4G"/>
    <n v="0"/>
    <x v="5"/>
    <s v="Friday"/>
    <x v="0"/>
  </r>
  <r>
    <s v="TXN0000000089"/>
    <d v="2024-04-03T12:09:00"/>
    <x v="1"/>
    <x v="6"/>
    <n v="1015"/>
    <s v="SUCCESS"/>
    <x v="4"/>
    <s v="26-35"/>
    <x v="0"/>
    <x v="1"/>
    <x v="0"/>
    <s v="SBI"/>
    <s v="iOS"/>
    <s v="4G"/>
    <n v="0"/>
    <x v="10"/>
    <s v="Wednesday"/>
    <x v="0"/>
  </r>
  <r>
    <s v="TXN0000000090"/>
    <d v="2024-08-01T09:40:00"/>
    <x v="1"/>
    <x v="5"/>
    <n v="188"/>
    <s v="SUCCESS"/>
    <x v="0"/>
    <s v="36-45"/>
    <x v="0"/>
    <x v="5"/>
    <x v="7"/>
    <s v="Kotak"/>
    <s v="Android"/>
    <s v="4G"/>
    <n v="0"/>
    <x v="7"/>
    <s v="Thursday"/>
    <x v="0"/>
  </r>
  <r>
    <s v="TXN0000000091"/>
    <d v="2024-07-14T12:18:00"/>
    <x v="0"/>
    <x v="5"/>
    <n v="1702"/>
    <s v="SUCCESS"/>
    <x v="0"/>
    <s v="18-25"/>
    <x v="0"/>
    <x v="3"/>
    <x v="6"/>
    <s v="SBI"/>
    <s v="Android"/>
    <s v="4G"/>
    <n v="0"/>
    <x v="10"/>
    <s v="Sunday"/>
    <x v="1"/>
  </r>
  <r>
    <s v="TXN0000000092"/>
    <d v="2024-08-04T10:24:00"/>
    <x v="2"/>
    <x v="4"/>
    <n v="1816"/>
    <s v="SUCCESS"/>
    <x v="4"/>
    <s v="18-25"/>
    <x v="0"/>
    <x v="6"/>
    <x v="5"/>
    <s v="SBI"/>
    <s v="Android"/>
    <s v="4G"/>
    <n v="0"/>
    <x v="3"/>
    <s v="Sunday"/>
    <x v="1"/>
  </r>
  <r>
    <s v="TXN0000000093"/>
    <d v="2024-05-19T18:03:00"/>
    <x v="0"/>
    <x v="5"/>
    <n v="712"/>
    <s v="SUCCESS"/>
    <x v="2"/>
    <s v="26-35"/>
    <x v="0"/>
    <x v="5"/>
    <x v="6"/>
    <s v="PNB"/>
    <s v="Android"/>
    <s v="5G"/>
    <n v="0"/>
    <x v="6"/>
    <s v="Sunday"/>
    <x v="1"/>
  </r>
  <r>
    <s v="TXN0000000094"/>
    <d v="2024-10-12T20:55:00"/>
    <x v="1"/>
    <x v="1"/>
    <n v="461"/>
    <s v="SUCCESS"/>
    <x v="0"/>
    <s v="18-25"/>
    <x v="0"/>
    <x v="2"/>
    <x v="6"/>
    <s v="IndusInd"/>
    <s v="Android"/>
    <s v="5G"/>
    <n v="0"/>
    <x v="8"/>
    <s v="Saturday"/>
    <x v="1"/>
  </r>
  <r>
    <s v="TXN0000000095"/>
    <d v="2024-01-22T16:45:00"/>
    <x v="0"/>
    <x v="7"/>
    <n v="224"/>
    <s v="SUCCESS"/>
    <x v="0"/>
    <s v="18-25"/>
    <x v="0"/>
    <x v="5"/>
    <x v="0"/>
    <s v="SBI"/>
    <s v="Android"/>
    <s v="5G"/>
    <n v="0"/>
    <x v="15"/>
    <s v="Monday"/>
    <x v="0"/>
  </r>
  <r>
    <s v="TXN0000000096"/>
    <d v="2024-03-23T22:12:00"/>
    <x v="0"/>
    <x v="3"/>
    <n v="2202"/>
    <s v="SUCCESS"/>
    <x v="1"/>
    <s v="46-55"/>
    <x v="0"/>
    <x v="8"/>
    <x v="0"/>
    <s v="SBI"/>
    <s v="Android"/>
    <s v="4G"/>
    <n v="0"/>
    <x v="5"/>
    <s v="Saturday"/>
    <x v="1"/>
  </r>
  <r>
    <s v="TXN0000000097"/>
    <d v="2024-02-19T18:16:00"/>
    <x v="2"/>
    <x v="3"/>
    <n v="7821"/>
    <s v="SUCCESS"/>
    <x v="0"/>
    <s v="26-35"/>
    <x v="0"/>
    <x v="6"/>
    <x v="2"/>
    <s v="Kotak"/>
    <s v="Web"/>
    <s v="5G"/>
    <n v="0"/>
    <x v="6"/>
    <s v="Monday"/>
    <x v="0"/>
  </r>
  <r>
    <s v="TXN0000000098"/>
    <d v="2024-04-14T20:11:00"/>
    <x v="1"/>
    <x v="3"/>
    <n v="2135"/>
    <s v="SUCCESS"/>
    <x v="4"/>
    <s v="26-35"/>
    <x v="0"/>
    <x v="4"/>
    <x v="1"/>
    <s v="HDFC"/>
    <s v="Android"/>
    <s v="4G"/>
    <n v="0"/>
    <x v="8"/>
    <s v="Sunday"/>
    <x v="1"/>
  </r>
  <r>
    <s v="TXN0000000099"/>
    <d v="2024-07-16T12:59:00"/>
    <x v="0"/>
    <x v="6"/>
    <n v="2776"/>
    <s v="SUCCESS"/>
    <x v="1"/>
    <s v="26-35"/>
    <x v="0"/>
    <x v="3"/>
    <x v="3"/>
    <s v="SBI"/>
    <s v="Android"/>
    <s v="3G"/>
    <n v="0"/>
    <x v="10"/>
    <s v="Tuesday"/>
    <x v="0"/>
  </r>
  <r>
    <s v="TXN0000000100"/>
    <d v="2024-10-24T16:39:00"/>
    <x v="1"/>
    <x v="1"/>
    <n v="543"/>
    <s v="SUCCESS"/>
    <x v="0"/>
    <s v="26-35"/>
    <x v="0"/>
    <x v="2"/>
    <x v="4"/>
    <s v="Axis"/>
    <s v="Android"/>
    <s v="4G"/>
    <n v="0"/>
    <x v="15"/>
    <s v="Thursday"/>
    <x v="0"/>
  </r>
  <r>
    <s v="TXN0000000101"/>
    <d v="2024-12-09T19:55:00"/>
    <x v="0"/>
    <x v="4"/>
    <n v="215"/>
    <s v="SUCCESS"/>
    <x v="4"/>
    <s v="26-35"/>
    <x v="0"/>
    <x v="2"/>
    <x v="1"/>
    <s v="Kotak"/>
    <s v="Android"/>
    <s v="4G"/>
    <n v="0"/>
    <x v="4"/>
    <s v="Monday"/>
    <x v="0"/>
  </r>
  <r>
    <s v="TXN0000000102"/>
    <d v="2024-02-19T18:16:00"/>
    <x v="1"/>
    <x v="9"/>
    <n v="8754"/>
    <s v="SUCCESS"/>
    <x v="1"/>
    <s v="26-35"/>
    <x v="0"/>
    <x v="8"/>
    <x v="1"/>
    <s v="PNB"/>
    <s v="Android"/>
    <s v="4G"/>
    <n v="0"/>
    <x v="6"/>
    <s v="Monday"/>
    <x v="0"/>
  </r>
  <r>
    <s v="TXN0000000103"/>
    <d v="2024-08-25T06:09:00"/>
    <x v="2"/>
    <x v="1"/>
    <n v="561"/>
    <s v="SUCCESS"/>
    <x v="0"/>
    <s v="26-35"/>
    <x v="0"/>
    <x v="9"/>
    <x v="1"/>
    <s v="Axis"/>
    <s v="Android"/>
    <s v="4G"/>
    <n v="0"/>
    <x v="1"/>
    <s v="Sunday"/>
    <x v="1"/>
  </r>
  <r>
    <s v="TXN0000000104"/>
    <d v="2024-09-16T18:23:00"/>
    <x v="0"/>
    <x v="5"/>
    <n v="147"/>
    <s v="SUCCESS"/>
    <x v="0"/>
    <s v="36-45"/>
    <x v="0"/>
    <x v="8"/>
    <x v="6"/>
    <s v="ICICI"/>
    <s v="Android"/>
    <s v="4G"/>
    <n v="0"/>
    <x v="6"/>
    <s v="Monday"/>
    <x v="0"/>
  </r>
  <r>
    <s v="TXN0000000105"/>
    <d v="2024-06-09T20:44:00"/>
    <x v="2"/>
    <x v="5"/>
    <n v="661"/>
    <s v="SUCCESS"/>
    <x v="1"/>
    <s v="36-45"/>
    <x v="0"/>
    <x v="8"/>
    <x v="2"/>
    <s v="Kotak"/>
    <s v="iOS"/>
    <s v="4G"/>
    <n v="0"/>
    <x v="8"/>
    <s v="Sunday"/>
    <x v="1"/>
  </r>
  <r>
    <s v="TXN0000000106"/>
    <d v="2024-07-29T20:35:00"/>
    <x v="1"/>
    <x v="3"/>
    <n v="7145"/>
    <s v="SUCCESS"/>
    <x v="4"/>
    <s v="46-55"/>
    <x v="0"/>
    <x v="8"/>
    <x v="7"/>
    <s v="Yes Bank"/>
    <s v="Android"/>
    <s v="WiFi"/>
    <n v="0"/>
    <x v="8"/>
    <s v="Monday"/>
    <x v="0"/>
  </r>
  <r>
    <s v="TXN0000000107"/>
    <d v="2024-07-17T10:07:00"/>
    <x v="0"/>
    <x v="2"/>
    <n v="4468"/>
    <s v="SUCCESS"/>
    <x v="1"/>
    <s v="36-45"/>
    <x v="0"/>
    <x v="5"/>
    <x v="5"/>
    <s v="Yes Bank"/>
    <s v="Android"/>
    <s v="5G"/>
    <n v="0"/>
    <x v="3"/>
    <s v="Wednesday"/>
    <x v="0"/>
  </r>
  <r>
    <s v="TXN0000000108"/>
    <d v="2024-12-24T11:08:00"/>
    <x v="2"/>
    <x v="6"/>
    <n v="2850"/>
    <s v="SUCCESS"/>
    <x v="0"/>
    <s v="36-45"/>
    <x v="0"/>
    <x v="6"/>
    <x v="5"/>
    <s v="ICICI"/>
    <s v="Android"/>
    <s v="WiFi"/>
    <n v="0"/>
    <x v="20"/>
    <s v="Tuesday"/>
    <x v="0"/>
  </r>
  <r>
    <s v="TXN0000000109"/>
    <d v="2024-10-13T20:29:00"/>
    <x v="1"/>
    <x v="6"/>
    <n v="2142"/>
    <s v="SUCCESS"/>
    <x v="4"/>
    <s v="36-45"/>
    <x v="0"/>
    <x v="6"/>
    <x v="1"/>
    <s v="IndusInd"/>
    <s v="Android"/>
    <s v="4G"/>
    <n v="0"/>
    <x v="8"/>
    <s v="Sunday"/>
    <x v="1"/>
  </r>
  <r>
    <s v="TXN0000000110"/>
    <d v="2024-07-19T11:30:00"/>
    <x v="3"/>
    <x v="4"/>
    <n v="61"/>
    <s v="SUCCESS"/>
    <x v="0"/>
    <s v="26-35"/>
    <x v="0"/>
    <x v="4"/>
    <x v="7"/>
    <s v="SBI"/>
    <s v="Android"/>
    <s v="5G"/>
    <n v="0"/>
    <x v="20"/>
    <s v="Friday"/>
    <x v="0"/>
  </r>
  <r>
    <s v="TXN0000000111"/>
    <d v="2024-04-16T16:11:00"/>
    <x v="0"/>
    <x v="4"/>
    <n v="1288"/>
    <s v="SUCCESS"/>
    <x v="1"/>
    <s v="46-55"/>
    <x v="0"/>
    <x v="5"/>
    <x v="6"/>
    <s v="ICICI"/>
    <s v="Android"/>
    <s v="4G"/>
    <n v="0"/>
    <x v="15"/>
    <s v="Tuesday"/>
    <x v="0"/>
  </r>
  <r>
    <s v="TXN0000000112"/>
    <d v="2024-08-11T19:39:00"/>
    <x v="0"/>
    <x v="4"/>
    <n v="1014"/>
    <s v="SUCCESS"/>
    <x v="1"/>
    <s v="36-45"/>
    <x v="0"/>
    <x v="0"/>
    <x v="3"/>
    <s v="PNB"/>
    <s v="Android"/>
    <s v="3G"/>
    <n v="0"/>
    <x v="4"/>
    <s v="Sunday"/>
    <x v="1"/>
  </r>
  <r>
    <s v="TXN0000000113"/>
    <d v="2024-02-05T19:13:00"/>
    <x v="2"/>
    <x v="5"/>
    <n v="2474"/>
    <s v="SUCCESS"/>
    <x v="3"/>
    <s v="46-55"/>
    <x v="0"/>
    <x v="0"/>
    <x v="0"/>
    <s v="HDFC"/>
    <s v="Web"/>
    <s v="WiFi"/>
    <n v="0"/>
    <x v="4"/>
    <s v="Monday"/>
    <x v="0"/>
  </r>
  <r>
    <s v="TXN0000000114"/>
    <d v="2024-11-25T19:54:00"/>
    <x v="1"/>
    <x v="8"/>
    <n v="861"/>
    <s v="SUCCESS"/>
    <x v="3"/>
    <s v="26-35"/>
    <x v="0"/>
    <x v="6"/>
    <x v="2"/>
    <s v="SBI"/>
    <s v="Android"/>
    <s v="5G"/>
    <n v="0"/>
    <x v="4"/>
    <s v="Monday"/>
    <x v="0"/>
  </r>
  <r>
    <s v="TXN0000000115"/>
    <d v="2024-04-26T20:45:00"/>
    <x v="0"/>
    <x v="7"/>
    <n v="507"/>
    <s v="SUCCESS"/>
    <x v="1"/>
    <s v="36-45"/>
    <x v="0"/>
    <x v="9"/>
    <x v="6"/>
    <s v="Axis"/>
    <s v="Android"/>
    <s v="5G"/>
    <n v="0"/>
    <x v="8"/>
    <s v="Friday"/>
    <x v="0"/>
  </r>
  <r>
    <s v="TXN0000000116"/>
    <d v="2024-08-06T13:16:00"/>
    <x v="1"/>
    <x v="3"/>
    <n v="404"/>
    <s v="SUCCESS"/>
    <x v="4"/>
    <s v="46-55"/>
    <x v="0"/>
    <x v="5"/>
    <x v="1"/>
    <s v="SBI"/>
    <s v="Android"/>
    <s v="4G"/>
    <n v="0"/>
    <x v="2"/>
    <s v="Tuesday"/>
    <x v="0"/>
  </r>
  <r>
    <s v="TXN0000000117"/>
    <d v="2024-02-04T17:37:00"/>
    <x v="1"/>
    <x v="5"/>
    <n v="621"/>
    <s v="SUCCESS"/>
    <x v="1"/>
    <s v="18-25"/>
    <x v="0"/>
    <x v="0"/>
    <x v="6"/>
    <s v="Yes Bank"/>
    <s v="iOS"/>
    <s v="WiFi"/>
    <n v="0"/>
    <x v="12"/>
    <s v="Sunday"/>
    <x v="1"/>
  </r>
  <r>
    <s v="TXN0000000118"/>
    <d v="2024-10-24T09:26:00"/>
    <x v="2"/>
    <x v="2"/>
    <n v="1830"/>
    <s v="SUCCESS"/>
    <x v="4"/>
    <s v="18-25"/>
    <x v="0"/>
    <x v="3"/>
    <x v="3"/>
    <s v="SBI"/>
    <s v="Android"/>
    <s v="4G"/>
    <n v="0"/>
    <x v="7"/>
    <s v="Thursday"/>
    <x v="0"/>
  </r>
  <r>
    <s v="TXN0000000119"/>
    <d v="2024-04-03T13:21:00"/>
    <x v="1"/>
    <x v="5"/>
    <n v="657"/>
    <s v="SUCCESS"/>
    <x v="0"/>
    <s v="26-35"/>
    <x v="0"/>
    <x v="0"/>
    <x v="7"/>
    <s v="HDFC"/>
    <s v="iOS"/>
    <s v="4G"/>
    <n v="0"/>
    <x v="2"/>
    <s v="Wednesday"/>
    <x v="0"/>
  </r>
  <r>
    <s v="TXN0000000120"/>
    <d v="2024-10-25T11:34:00"/>
    <x v="0"/>
    <x v="3"/>
    <n v="6804"/>
    <s v="SUCCESS"/>
    <x v="0"/>
    <s v="26-35"/>
    <x v="0"/>
    <x v="2"/>
    <x v="2"/>
    <s v="SBI"/>
    <s v="Android"/>
    <s v="5G"/>
    <n v="0"/>
    <x v="20"/>
    <s v="Friday"/>
    <x v="0"/>
  </r>
  <r>
    <s v="TXN0000000121"/>
    <d v="2024-03-20T05:14:00"/>
    <x v="0"/>
    <x v="6"/>
    <n v="261"/>
    <s v="SUCCESS"/>
    <x v="0"/>
    <s v="26-35"/>
    <x v="0"/>
    <x v="5"/>
    <x v="4"/>
    <s v="SBI"/>
    <s v="Android"/>
    <s v="4G"/>
    <n v="0"/>
    <x v="18"/>
    <s v="Wednesday"/>
    <x v="0"/>
  </r>
  <r>
    <s v="TXN0000000122"/>
    <d v="2024-01-20T13:38:00"/>
    <x v="0"/>
    <x v="0"/>
    <n v="268"/>
    <s v="SUCCESS"/>
    <x v="0"/>
    <s v="26-35"/>
    <x v="0"/>
    <x v="1"/>
    <x v="4"/>
    <s v="PNB"/>
    <s v="Android"/>
    <s v="WiFi"/>
    <n v="0"/>
    <x v="2"/>
    <s v="Saturday"/>
    <x v="1"/>
  </r>
  <r>
    <s v="TXN0000000123"/>
    <d v="2024-01-03T14:46:00"/>
    <x v="0"/>
    <x v="7"/>
    <n v="1410"/>
    <s v="SUCCESS"/>
    <x v="0"/>
    <s v="18-25"/>
    <x v="0"/>
    <x v="2"/>
    <x v="6"/>
    <s v="Yes Bank"/>
    <s v="Android"/>
    <s v="4G"/>
    <n v="0"/>
    <x v="17"/>
    <s v="Wednesday"/>
    <x v="0"/>
  </r>
  <r>
    <s v="TXN0000000124"/>
    <d v="2024-01-23T11:47:00"/>
    <x v="0"/>
    <x v="6"/>
    <n v="342"/>
    <s v="SUCCESS"/>
    <x v="0"/>
    <s v="26-35"/>
    <x v="0"/>
    <x v="1"/>
    <x v="5"/>
    <s v="SBI"/>
    <s v="iOS"/>
    <s v="WiFi"/>
    <n v="0"/>
    <x v="20"/>
    <s v="Tuesday"/>
    <x v="0"/>
  </r>
  <r>
    <s v="TXN0000000125"/>
    <d v="2024-04-09T13:39:00"/>
    <x v="2"/>
    <x v="6"/>
    <n v="3941"/>
    <s v="SUCCESS"/>
    <x v="1"/>
    <s v="26-35"/>
    <x v="0"/>
    <x v="3"/>
    <x v="4"/>
    <s v="HDFC"/>
    <s v="iOS"/>
    <s v="4G"/>
    <n v="0"/>
    <x v="2"/>
    <s v="Tuesday"/>
    <x v="0"/>
  </r>
  <r>
    <s v="TXN0000000126"/>
    <d v="2024-05-12T11:54:00"/>
    <x v="1"/>
    <x v="1"/>
    <n v="4073"/>
    <s v="SUCCESS"/>
    <x v="1"/>
    <s v="56+"/>
    <x v="0"/>
    <x v="5"/>
    <x v="0"/>
    <s v="Yes Bank"/>
    <s v="Android"/>
    <s v="WiFi"/>
    <n v="0"/>
    <x v="20"/>
    <s v="Sunday"/>
    <x v="1"/>
  </r>
  <r>
    <s v="TXN0000000127"/>
    <d v="2024-04-29T15:05:00"/>
    <x v="1"/>
    <x v="4"/>
    <n v="91"/>
    <s v="SUCCESS"/>
    <x v="3"/>
    <s v="46-55"/>
    <x v="0"/>
    <x v="3"/>
    <x v="0"/>
    <s v="SBI"/>
    <s v="Android"/>
    <s v="4G"/>
    <n v="0"/>
    <x v="0"/>
    <s v="Monday"/>
    <x v="0"/>
  </r>
  <r>
    <s v="TXN0000000128"/>
    <d v="2024-09-14T13:32:00"/>
    <x v="2"/>
    <x v="0"/>
    <n v="209"/>
    <s v="SUCCESS"/>
    <x v="3"/>
    <s v="46-55"/>
    <x v="0"/>
    <x v="2"/>
    <x v="4"/>
    <s v="ICICI"/>
    <s v="Web"/>
    <s v="4G"/>
    <n v="0"/>
    <x v="2"/>
    <s v="Saturday"/>
    <x v="1"/>
  </r>
  <r>
    <s v="TXN0000000129"/>
    <d v="2024-03-09T18:13:00"/>
    <x v="0"/>
    <x v="7"/>
    <n v="37"/>
    <s v="SUCCESS"/>
    <x v="0"/>
    <s v="26-35"/>
    <x v="0"/>
    <x v="2"/>
    <x v="4"/>
    <s v="IndusInd"/>
    <s v="Android"/>
    <s v="5G"/>
    <n v="0"/>
    <x v="6"/>
    <s v="Saturday"/>
    <x v="1"/>
  </r>
  <r>
    <s v="TXN0000000130"/>
    <d v="2024-09-05T11:42:00"/>
    <x v="0"/>
    <x v="2"/>
    <n v="596"/>
    <s v="SUCCESS"/>
    <x v="0"/>
    <s v="18-25"/>
    <x v="0"/>
    <x v="4"/>
    <x v="0"/>
    <s v="HDFC"/>
    <s v="Android"/>
    <s v="4G"/>
    <n v="0"/>
    <x v="20"/>
    <s v="Thursday"/>
    <x v="0"/>
  </r>
  <r>
    <s v="TXN0000000131"/>
    <d v="2024-10-10T23:26:00"/>
    <x v="1"/>
    <x v="7"/>
    <n v="66"/>
    <s v="SUCCESS"/>
    <x v="1"/>
    <s v="36-45"/>
    <x v="0"/>
    <x v="4"/>
    <x v="1"/>
    <s v="PNB"/>
    <s v="iOS"/>
    <s v="4G"/>
    <n v="0"/>
    <x v="21"/>
    <s v="Thursday"/>
    <x v="0"/>
  </r>
  <r>
    <s v="TXN0000000132"/>
    <d v="2024-12-28T10:47:00"/>
    <x v="3"/>
    <x v="4"/>
    <n v="225"/>
    <s v="SUCCESS"/>
    <x v="0"/>
    <s v="36-45"/>
    <x v="0"/>
    <x v="4"/>
    <x v="1"/>
    <s v="HDFC"/>
    <s v="Android"/>
    <s v="4G"/>
    <n v="0"/>
    <x v="3"/>
    <s v="Saturday"/>
    <x v="1"/>
  </r>
  <r>
    <s v="TXN0000000133"/>
    <d v="2024-04-05T20:33:00"/>
    <x v="1"/>
    <x v="0"/>
    <n v="187"/>
    <s v="SUCCESS"/>
    <x v="0"/>
    <s v="18-25"/>
    <x v="0"/>
    <x v="0"/>
    <x v="6"/>
    <s v="Axis"/>
    <s v="Android"/>
    <s v="4G"/>
    <n v="0"/>
    <x v="8"/>
    <s v="Friday"/>
    <x v="0"/>
  </r>
  <r>
    <s v="TXN0000000134"/>
    <d v="2024-10-15T19:38:00"/>
    <x v="0"/>
    <x v="3"/>
    <n v="7155"/>
    <s v="SUCCESS"/>
    <x v="4"/>
    <s v="46-55"/>
    <x v="0"/>
    <x v="7"/>
    <x v="1"/>
    <s v="IndusInd"/>
    <s v="Android"/>
    <s v="4G"/>
    <n v="0"/>
    <x v="4"/>
    <s v="Tuesday"/>
    <x v="0"/>
  </r>
  <r>
    <s v="TXN0000000135"/>
    <d v="2024-12-14T19:24:00"/>
    <x v="2"/>
    <x v="3"/>
    <n v="5879"/>
    <s v="SUCCESS"/>
    <x v="4"/>
    <s v="18-25"/>
    <x v="0"/>
    <x v="3"/>
    <x v="6"/>
    <s v="PNB"/>
    <s v="Android"/>
    <s v="5G"/>
    <n v="0"/>
    <x v="4"/>
    <s v="Saturday"/>
    <x v="1"/>
  </r>
  <r>
    <s v="TXN0000000136"/>
    <d v="2024-09-02T20:42:00"/>
    <x v="0"/>
    <x v="0"/>
    <n v="561"/>
    <s v="SUCCESS"/>
    <x v="1"/>
    <s v="56+"/>
    <x v="0"/>
    <x v="0"/>
    <x v="6"/>
    <s v="Yes Bank"/>
    <s v="Android"/>
    <s v="WiFi"/>
    <n v="0"/>
    <x v="8"/>
    <s v="Monday"/>
    <x v="0"/>
  </r>
  <r>
    <s v="TXN0000000137"/>
    <d v="2024-12-02T13:26:00"/>
    <x v="2"/>
    <x v="6"/>
    <n v="6011"/>
    <s v="SUCCESS"/>
    <x v="1"/>
    <s v="18-25"/>
    <x v="0"/>
    <x v="4"/>
    <x v="6"/>
    <s v="Yes Bank"/>
    <s v="Android"/>
    <s v="4G"/>
    <n v="0"/>
    <x v="2"/>
    <s v="Monday"/>
    <x v="0"/>
  </r>
  <r>
    <s v="TXN0000000138"/>
    <d v="2024-08-15T07:34:00"/>
    <x v="0"/>
    <x v="0"/>
    <n v="223"/>
    <s v="SUCCESS"/>
    <x v="0"/>
    <s v="26-35"/>
    <x v="0"/>
    <x v="3"/>
    <x v="6"/>
    <s v="SBI"/>
    <s v="Android"/>
    <s v="5G"/>
    <n v="0"/>
    <x v="11"/>
    <s v="Thursday"/>
    <x v="0"/>
  </r>
  <r>
    <s v="TXN0000000139"/>
    <d v="2024-11-07T15:35:00"/>
    <x v="2"/>
    <x v="2"/>
    <n v="4864"/>
    <s v="SUCCESS"/>
    <x v="2"/>
    <s v="36-45"/>
    <x v="0"/>
    <x v="4"/>
    <x v="5"/>
    <s v="SBI"/>
    <s v="iOS"/>
    <s v="WiFi"/>
    <n v="0"/>
    <x v="0"/>
    <s v="Thursday"/>
    <x v="0"/>
  </r>
  <r>
    <s v="TXN0000000140"/>
    <d v="2024-09-04T16:28:00"/>
    <x v="1"/>
    <x v="4"/>
    <n v="2350"/>
    <s v="SUCCESS"/>
    <x v="0"/>
    <s v="26-35"/>
    <x v="0"/>
    <x v="0"/>
    <x v="6"/>
    <s v="IndusInd"/>
    <s v="Android"/>
    <s v="5G"/>
    <n v="0"/>
    <x v="15"/>
    <s v="Wednesday"/>
    <x v="0"/>
  </r>
  <r>
    <s v="TXN0000000141"/>
    <d v="2024-04-09T14:17:00"/>
    <x v="1"/>
    <x v="6"/>
    <n v="284"/>
    <s v="SUCCESS"/>
    <x v="0"/>
    <s v="26-35"/>
    <x v="0"/>
    <x v="3"/>
    <x v="6"/>
    <s v="Kotak"/>
    <s v="Android"/>
    <s v="4G"/>
    <n v="0"/>
    <x v="17"/>
    <s v="Tuesday"/>
    <x v="0"/>
  </r>
  <r>
    <s v="TXN0000000142"/>
    <d v="2024-06-22T23:08:00"/>
    <x v="0"/>
    <x v="3"/>
    <n v="1174"/>
    <s v="SUCCESS"/>
    <x v="1"/>
    <s v="46-55"/>
    <x v="0"/>
    <x v="8"/>
    <x v="3"/>
    <s v="HDFC"/>
    <s v="Android"/>
    <s v="4G"/>
    <n v="0"/>
    <x v="21"/>
    <s v="Saturday"/>
    <x v="1"/>
  </r>
  <r>
    <s v="TXN0000000143"/>
    <d v="2024-08-15T19:38:00"/>
    <x v="0"/>
    <x v="3"/>
    <n v="1773"/>
    <s v="SUCCESS"/>
    <x v="2"/>
    <s v="36-45"/>
    <x v="0"/>
    <x v="4"/>
    <x v="3"/>
    <s v="ICICI"/>
    <s v="Android"/>
    <s v="4G"/>
    <n v="0"/>
    <x v="4"/>
    <s v="Thursday"/>
    <x v="0"/>
  </r>
  <r>
    <s v="TXN0000000144"/>
    <d v="2024-01-07T09:55:00"/>
    <x v="0"/>
    <x v="1"/>
    <n v="2839"/>
    <s v="SUCCESS"/>
    <x v="0"/>
    <s v="26-35"/>
    <x v="0"/>
    <x v="1"/>
    <x v="4"/>
    <s v="SBI"/>
    <s v="iOS"/>
    <s v="4G"/>
    <n v="0"/>
    <x v="7"/>
    <s v="Sunday"/>
    <x v="1"/>
  </r>
  <r>
    <s v="TXN0000000145"/>
    <d v="2024-06-13T08:59:00"/>
    <x v="0"/>
    <x v="3"/>
    <n v="3757"/>
    <s v="SUCCESS"/>
    <x v="2"/>
    <s v="26-35"/>
    <x v="0"/>
    <x v="1"/>
    <x v="6"/>
    <s v="SBI"/>
    <s v="Android"/>
    <s v="4G"/>
    <n v="0"/>
    <x v="19"/>
    <s v="Thursday"/>
    <x v="0"/>
  </r>
  <r>
    <s v="TXN0000000146"/>
    <d v="2024-10-14T12:46:00"/>
    <x v="0"/>
    <x v="1"/>
    <n v="599"/>
    <s v="SUCCESS"/>
    <x v="2"/>
    <s v="26-35"/>
    <x v="0"/>
    <x v="1"/>
    <x v="1"/>
    <s v="ICICI"/>
    <s v="Android"/>
    <s v="4G"/>
    <n v="0"/>
    <x v="10"/>
    <s v="Monday"/>
    <x v="0"/>
  </r>
  <r>
    <s v="TXN0000000147"/>
    <d v="2024-02-18T16:12:00"/>
    <x v="0"/>
    <x v="8"/>
    <n v="720"/>
    <s v="SUCCESS"/>
    <x v="0"/>
    <s v="18-25"/>
    <x v="0"/>
    <x v="5"/>
    <x v="7"/>
    <s v="ICICI"/>
    <s v="iOS"/>
    <s v="4G"/>
    <n v="0"/>
    <x v="15"/>
    <s v="Sunday"/>
    <x v="1"/>
  </r>
  <r>
    <s v="TXN0000000148"/>
    <d v="2024-05-05T12:38:00"/>
    <x v="1"/>
    <x v="4"/>
    <n v="646"/>
    <s v="SUCCESS"/>
    <x v="0"/>
    <s v="36-45"/>
    <x v="0"/>
    <x v="6"/>
    <x v="3"/>
    <s v="SBI"/>
    <s v="Android"/>
    <s v="5G"/>
    <n v="0"/>
    <x v="10"/>
    <s v="Sunday"/>
    <x v="1"/>
  </r>
  <r>
    <s v="TXN0000000149"/>
    <d v="2024-06-06T19:51:00"/>
    <x v="1"/>
    <x v="4"/>
    <n v="211"/>
    <s v="SUCCESS"/>
    <x v="0"/>
    <s v="18-25"/>
    <x v="0"/>
    <x v="0"/>
    <x v="6"/>
    <s v="SBI"/>
    <s v="iOS"/>
    <s v="4G"/>
    <n v="0"/>
    <x v="4"/>
    <s v="Thursd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F3F47-E945-4FB3-B071-6E9BAA179211}" name="PivotTable2"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B4" firstHeaderRow="1" firstDataRow="1" firstDataCol="1"/>
  <pivotFields count="18">
    <pivotField showAll="0"/>
    <pivotField numFmtId="22" showAll="0"/>
    <pivotField axis="axisRow" showAll="0">
      <items count="5">
        <item x="2"/>
        <item x="1"/>
        <item x="0"/>
        <item x="3"/>
        <item t="default"/>
      </items>
    </pivotField>
    <pivotField showAll="0">
      <items count="11">
        <item h="1" x="9"/>
        <item h="1" x="0"/>
        <item h="1" x="4"/>
        <item h="1" x="2"/>
        <item h="1" x="1"/>
        <item x="8"/>
        <item h="1" x="5"/>
        <item h="1" x="3"/>
        <item h="1" x="7"/>
        <item h="1" x="6"/>
        <item t="default"/>
      </items>
    </pivotField>
    <pivotField dataField="1" showAll="0"/>
    <pivotField showAll="0"/>
    <pivotField showAll="0">
      <items count="6">
        <item x="4"/>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v="1"/>
    </i>
    <i>
      <x v="2"/>
    </i>
    <i t="grand">
      <x/>
    </i>
  </rowItems>
  <colItems count="1">
    <i/>
  </colItems>
  <dataFields count="1">
    <dataField name="Sum of amount (INR)" fld="4" baseField="0" baseItem="0"/>
  </dataFields>
  <chartFormats count="1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 count="1" selected="0">
            <x v="0"/>
          </reference>
        </references>
      </pivotArea>
    </chartFormat>
    <chartFormat chart="11" format="12">
      <pivotArea type="data" outline="0" fieldPosition="0">
        <references count="2">
          <reference field="4294967294" count="1" selected="0">
            <x v="0"/>
          </reference>
          <reference field="2" count="1" selected="0">
            <x v="1"/>
          </reference>
        </references>
      </pivotArea>
    </chartFormat>
    <chartFormat chart="11" format="13">
      <pivotArea type="data" outline="0" fieldPosition="0">
        <references count="2">
          <reference field="4294967294" count="1" selected="0">
            <x v="0"/>
          </reference>
          <reference field="2" count="1" selected="0">
            <x v="2"/>
          </reference>
        </references>
      </pivotArea>
    </chartFormat>
    <chartFormat chart="11"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F3F54-B642-4CC9-BA50-ED499911A6AC}" name="PivotTable3"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B4" firstHeaderRow="1" firstDataRow="1" firstDataCol="1"/>
  <pivotFields count="18">
    <pivotField showAll="0"/>
    <pivotField numFmtId="22" showAll="0"/>
    <pivotField showAll="0">
      <items count="5">
        <item x="2"/>
        <item x="1"/>
        <item x="0"/>
        <item x="3"/>
        <item t="default"/>
      </items>
    </pivotField>
    <pivotField axis="axisRow" showAll="0" sortType="descending">
      <items count="11">
        <item h="1" x="9"/>
        <item h="1" x="0"/>
        <item h="1" x="4"/>
        <item h="1" x="2"/>
        <item h="1" x="1"/>
        <item x="8"/>
        <item h="1" x="5"/>
        <item h="1" x="3"/>
        <item h="1" x="7"/>
        <item h="1" x="6"/>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x="4"/>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
    <i>
      <x v="5"/>
    </i>
  </rowItems>
  <colItems count="1">
    <i/>
  </colItems>
  <dataFields count="1">
    <dataField name="Total Transaction Value " fld="4" baseField="3"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D2343-213E-4D82-A164-12E4DEAF8211}" name="PivotTable4"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B10" firstHeaderRow="1" firstDataRow="1" firstDataCol="1"/>
  <pivotFields count="18">
    <pivotField dataField="1" showAll="0"/>
    <pivotField numFmtId="22" showAll="0"/>
    <pivotField showAll="0">
      <items count="5">
        <item x="2"/>
        <item x="1"/>
        <item x="0"/>
        <item x="3"/>
        <item t="default"/>
      </items>
    </pivotField>
    <pivotField showAll="0">
      <items count="11">
        <item h="1" x="9"/>
        <item h="1" x="0"/>
        <item h="1" x="4"/>
        <item h="1" x="2"/>
        <item h="1" x="1"/>
        <item x="8"/>
        <item h="1" x="5"/>
        <item h="1" x="3"/>
        <item h="1" x="7"/>
        <item h="1" x="6"/>
        <item t="default"/>
      </items>
    </pivotField>
    <pivotField showAll="0"/>
    <pivotField showAll="0"/>
    <pivotField showAll="0">
      <items count="6">
        <item x="4"/>
        <item x="0"/>
        <item x="1"/>
        <item x="2"/>
        <item x="3"/>
        <item t="default"/>
      </items>
    </pivotField>
    <pivotField showAll="0"/>
    <pivotField showAll="0"/>
    <pivotField showAll="0"/>
    <pivotField showAll="0"/>
    <pivotField showAll="0"/>
    <pivotField showAll="0"/>
    <pivotField showAll="0"/>
    <pivotField showAll="0"/>
    <pivotField axis="axisRow" showAll="0">
      <items count="23">
        <item x="9"/>
        <item x="16"/>
        <item x="13"/>
        <item x="18"/>
        <item x="1"/>
        <item x="11"/>
        <item x="19"/>
        <item x="7"/>
        <item x="3"/>
        <item x="20"/>
        <item x="10"/>
        <item x="2"/>
        <item x="17"/>
        <item x="0"/>
        <item x="15"/>
        <item x="12"/>
        <item x="6"/>
        <item x="4"/>
        <item x="8"/>
        <item x="14"/>
        <item x="5"/>
        <item x="21"/>
        <item t="default"/>
      </items>
    </pivotField>
    <pivotField showAll="0"/>
    <pivotField showAll="0"/>
  </pivotFields>
  <rowFields count="1">
    <field x="15"/>
  </rowFields>
  <rowItems count="7">
    <i>
      <x v="1"/>
    </i>
    <i>
      <x v="3"/>
    </i>
    <i>
      <x v="6"/>
    </i>
    <i>
      <x v="14"/>
    </i>
    <i>
      <x v="16"/>
    </i>
    <i>
      <x v="17"/>
    </i>
    <i>
      <x v="20"/>
    </i>
  </rowItems>
  <colItems count="1">
    <i/>
  </colItems>
  <dataFields count="1">
    <dataField name="Count of transaction id" fld="0"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B618AE-20BC-41FD-BD90-ED73DBA9983B}" name="PivotTable5"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3:B5" firstHeaderRow="1" firstDataRow="1" firstDataCol="1"/>
  <pivotFields count="18">
    <pivotField showAll="0"/>
    <pivotField numFmtId="22" showAll="0"/>
    <pivotField showAll="0">
      <items count="5">
        <item x="2"/>
        <item x="1"/>
        <item x="0"/>
        <item x="3"/>
        <item t="default"/>
      </items>
    </pivotField>
    <pivotField showAll="0">
      <items count="11">
        <item h="1" x="9"/>
        <item h="1" x="0"/>
        <item h="1" x="4"/>
        <item h="1" x="2"/>
        <item h="1" x="1"/>
        <item x="8"/>
        <item h="1" x="5"/>
        <item h="1" x="3"/>
        <item h="1" x="7"/>
        <item h="1" x="6"/>
        <item t="default"/>
      </items>
    </pivotField>
    <pivotField dataField="1" showAll="0"/>
    <pivotField showAll="0"/>
    <pivotField showAll="0">
      <items count="6">
        <item x="4"/>
        <item x="0"/>
        <item x="1"/>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n="Weekday" x="0"/>
        <item n="Weekend " x="1"/>
        <item t="default"/>
      </items>
    </pivotField>
  </pivotFields>
  <rowFields count="1">
    <field x="17"/>
  </rowFields>
  <rowItems count="2">
    <i>
      <x/>
    </i>
    <i>
      <x v="1"/>
    </i>
  </rowItems>
  <colItems count="1">
    <i/>
  </colItems>
  <dataFields count="1">
    <dataField name="Sum of amount (INR)" fld="4" baseField="0" baseItem="0"/>
  </dataFields>
  <chartFormats count="2">
    <chartFormat chart="1"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D14D0C-F244-48B3-B1C9-7DE246B45096}" name="PivotTable7"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9" firstHeaderRow="1" firstDataRow="1" firstDataCol="1"/>
  <pivotFields count="18">
    <pivotField dataField="1" showAll="0"/>
    <pivotField numFmtId="22" showAll="0"/>
    <pivotField showAll="0">
      <items count="5">
        <item x="2"/>
        <item x="1"/>
        <item x="0"/>
        <item x="3"/>
        <item t="default"/>
      </items>
    </pivotField>
    <pivotField showAll="0">
      <items count="11">
        <item h="1" x="9"/>
        <item h="1" x="0"/>
        <item h="1" x="4"/>
        <item h="1" x="2"/>
        <item h="1" x="1"/>
        <item x="8"/>
        <item h="1" x="5"/>
        <item h="1" x="3"/>
        <item h="1" x="7"/>
        <item h="1" x="6"/>
        <item t="default"/>
      </items>
    </pivotField>
    <pivotField showAll="0"/>
    <pivotField showAll="0"/>
    <pivotField showAll="0">
      <items count="6">
        <item x="4"/>
        <item x="0"/>
        <item x="1"/>
        <item x="2"/>
        <item x="3"/>
        <item t="default"/>
      </items>
    </pivotField>
    <pivotField showAll="0"/>
    <pivotField showAll="0"/>
    <pivotField showAll="0"/>
    <pivotField axis="axisRow" showAll="0">
      <items count="9">
        <item x="0"/>
        <item x="4"/>
        <item x="1"/>
        <item x="3"/>
        <item x="5"/>
        <item x="7"/>
        <item x="6"/>
        <item x="2"/>
        <item t="default"/>
      </items>
    </pivotField>
    <pivotField showAll="0"/>
    <pivotField showAll="0"/>
    <pivotField showAll="0"/>
    <pivotField showAll="0"/>
    <pivotField showAll="0"/>
    <pivotField showAll="0"/>
    <pivotField showAll="0"/>
  </pivotFields>
  <rowFields count="1">
    <field x="10"/>
  </rowFields>
  <rowItems count="6">
    <i>
      <x v="1"/>
    </i>
    <i>
      <x v="2"/>
    </i>
    <i>
      <x v="3"/>
    </i>
    <i>
      <x v="5"/>
    </i>
    <i>
      <x v="6"/>
    </i>
    <i>
      <x v="7"/>
    </i>
  </rowItems>
  <colItems count="1">
    <i/>
  </colItems>
  <dataFields count="1">
    <dataField name="Count of transaction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0AD059-5321-4416-BFFC-2D6C84FD3880}" name="PivotTable9"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5" firstHeaderRow="1" firstDataRow="1" firstDataCol="1"/>
  <pivotFields count="18">
    <pivotField showAll="0"/>
    <pivotField numFmtId="22" showAll="0"/>
    <pivotField showAll="0">
      <items count="5">
        <item x="2"/>
        <item x="1"/>
        <item x="0"/>
        <item x="3"/>
        <item t="default"/>
      </items>
    </pivotField>
    <pivotField showAll="0">
      <items count="11">
        <item x="9"/>
        <item x="0"/>
        <item x="4"/>
        <item x="2"/>
        <item x="1"/>
        <item x="8"/>
        <item x="5"/>
        <item x="3"/>
        <item x="7"/>
        <item x="6"/>
        <item t="default"/>
      </items>
    </pivotField>
    <pivotField dataField="1" showAll="0"/>
    <pivotField showAll="0"/>
    <pivotField showAll="0">
      <items count="6">
        <item x="4"/>
        <item x="0"/>
        <item x="1"/>
        <item x="2"/>
        <item x="3"/>
        <item t="default"/>
      </items>
    </pivotField>
    <pivotField showAll="0"/>
    <pivotField axis="axisRow" showAll="0">
      <items count="2">
        <item x="0"/>
        <item t="default"/>
      </items>
    </pivotField>
    <pivotField axis="axisRow" showAll="0">
      <items count="11">
        <item x="9"/>
        <item x="0"/>
        <item x="5"/>
        <item x="2"/>
        <item x="4"/>
        <item x="6"/>
        <item x="7"/>
        <item x="3"/>
        <item x="1"/>
        <item x="8"/>
        <item t="default"/>
      </items>
    </pivotField>
    <pivotField showAll="0"/>
    <pivotField showAll="0"/>
    <pivotField showAll="0"/>
    <pivotField showAll="0"/>
    <pivotField showAll="0"/>
    <pivotField showAll="0"/>
    <pivotField showAll="0"/>
    <pivotField showAll="0"/>
  </pivotFields>
  <rowFields count="2">
    <field x="8"/>
    <field x="9"/>
  </rowFields>
  <rowItems count="12">
    <i>
      <x/>
    </i>
    <i r="1">
      <x/>
    </i>
    <i r="1">
      <x v="1"/>
    </i>
    <i r="1">
      <x v="2"/>
    </i>
    <i r="1">
      <x v="3"/>
    </i>
    <i r="1">
      <x v="4"/>
    </i>
    <i r="1">
      <x v="5"/>
    </i>
    <i r="1">
      <x v="6"/>
    </i>
    <i r="1">
      <x v="7"/>
    </i>
    <i r="1">
      <x v="8"/>
    </i>
    <i r="1">
      <x v="9"/>
    </i>
    <i t="grand">
      <x/>
    </i>
  </rowItems>
  <colItems count="1">
    <i/>
  </colItems>
  <dataFields count="1">
    <dataField name="Total Transaction Value  (INR)" fld="4"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3B6BED-309D-4439-A121-A0D96CC6420B}"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62:L179"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9F2ADA44-F30A-463D-9137-4BC3C2C36D28}" sourceName="transaction type">
  <pivotTables>
    <pivotTable tabId="3" name="PivotTable2"/>
    <pivotTable tabId="10" name="PivotTable7"/>
    <pivotTable tabId="6" name="PivotTable3"/>
    <pivotTable tabId="12" name="PivotTable9"/>
    <pivotTable tabId="7" name="PivotTable4"/>
    <pivotTable tabId="8" name="PivotTable5"/>
  </pivotTables>
  <data>
    <tabular pivotCacheId="10658283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_category" xr10:uid="{B1428B9F-466B-4E77-B501-A5FA15090BEB}" sourceName="merchant_category">
  <pivotTables>
    <pivotTable tabId="3" name="PivotTable2"/>
    <pivotTable tabId="10" name="PivotTable7"/>
    <pivotTable tabId="6" name="PivotTable3"/>
    <pivotTable tabId="7" name="PivotTable4"/>
    <pivotTable tabId="8" name="PivotTable5"/>
  </pivotTables>
  <data>
    <tabular pivotCacheId="1065828351">
      <items count="10">
        <i x="9"/>
        <i x="0"/>
        <i x="4"/>
        <i x="2"/>
        <i x="1"/>
        <i x="8" s="1"/>
        <i x="5"/>
        <i x="3"/>
        <i x="7"/>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der_age_group" xr10:uid="{423E9C6B-BF56-4DD0-AB31-E0B5E6FAFDA8}" sourceName="sender_age_group">
  <pivotTables>
    <pivotTable tabId="3" name="PivotTable2"/>
    <pivotTable tabId="10" name="PivotTable7"/>
    <pivotTable tabId="6" name="PivotTable3"/>
    <pivotTable tabId="7" name="PivotTable4"/>
    <pivotTable tabId="8" name="PivotTable5"/>
    <pivotTable tabId="12" name="PivotTable9"/>
  </pivotTables>
  <data>
    <tabular pivotCacheId="1065828351">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type" xr10:uid="{0DA5C4EB-8CE7-438A-921E-885AFE4FF0B0}" cache="Slicer_transaction_type" caption="transaction type" rowHeight="234950"/>
  <slicer name="merchant_category" xr10:uid="{4EA437B2-120C-4C26-85D3-BB96F4B79975}" cache="Slicer_merchant_category" caption="merchant_category" rowHeight="234950"/>
  <slicer name="sender_age_group" xr10:uid="{68260A91-5F60-4064-A894-041F109E41AB}" cache="Slicer_sender_age_group" caption="sender_age_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63BE-3E5B-476C-8866-03A33ADD3145}">
  <dimension ref="A1:B4"/>
  <sheetViews>
    <sheetView workbookViewId="0">
      <selection activeCell="N18" sqref="N18"/>
    </sheetView>
  </sheetViews>
  <sheetFormatPr defaultRowHeight="14.4" x14ac:dyDescent="0.3"/>
  <cols>
    <col min="1" max="1" width="12.5546875" bestFit="1" customWidth="1"/>
    <col min="2" max="2" width="19.109375" bestFit="1" customWidth="1"/>
  </cols>
  <sheetData>
    <row r="1" spans="1:2" x14ac:dyDescent="0.3">
      <c r="A1" s="2" t="s">
        <v>219</v>
      </c>
      <c r="B1" t="s">
        <v>221</v>
      </c>
    </row>
    <row r="2" spans="1:2" x14ac:dyDescent="0.3">
      <c r="A2" s="3" t="s">
        <v>30</v>
      </c>
      <c r="B2" s="4">
        <v>2557</v>
      </c>
    </row>
    <row r="3" spans="1:2" x14ac:dyDescent="0.3">
      <c r="A3" s="3" t="s">
        <v>18</v>
      </c>
      <c r="B3" s="4">
        <v>4390</v>
      </c>
    </row>
    <row r="4" spans="1:2" x14ac:dyDescent="0.3">
      <c r="A4" s="3" t="s">
        <v>220</v>
      </c>
      <c r="B4" s="4">
        <v>6947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2312-EA07-44DB-8F10-9061A818A6EA}">
  <dimension ref="A3:B4"/>
  <sheetViews>
    <sheetView topLeftCell="A2" workbookViewId="0">
      <selection activeCell="J16" sqref="J16"/>
    </sheetView>
  </sheetViews>
  <sheetFormatPr defaultRowHeight="14.4" x14ac:dyDescent="0.3"/>
  <cols>
    <col min="1" max="1" width="12.5546875" bestFit="1" customWidth="1"/>
    <col min="2" max="2" width="21.44140625" bestFit="1" customWidth="1"/>
  </cols>
  <sheetData>
    <row r="3" spans="1:2" x14ac:dyDescent="0.3">
      <c r="A3" s="2" t="s">
        <v>219</v>
      </c>
      <c r="B3" t="s">
        <v>223</v>
      </c>
    </row>
    <row r="4" spans="1:2" x14ac:dyDescent="0.3">
      <c r="A4" s="3" t="s">
        <v>79</v>
      </c>
      <c r="B4" s="4">
        <v>6947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A6CA-E317-4F02-895C-0E0A8DAC7518}">
  <dimension ref="A3:B10"/>
  <sheetViews>
    <sheetView workbookViewId="0">
      <selection activeCell="F5" sqref="F5"/>
    </sheetView>
  </sheetViews>
  <sheetFormatPr defaultRowHeight="14.4" x14ac:dyDescent="0.3"/>
  <cols>
    <col min="1" max="1" width="12.5546875" bestFit="1" customWidth="1"/>
    <col min="2" max="2" width="20.44140625" bestFit="1" customWidth="1"/>
  </cols>
  <sheetData>
    <row r="3" spans="1:2" x14ac:dyDescent="0.3">
      <c r="A3" s="2" t="s">
        <v>219</v>
      </c>
      <c r="B3" t="s">
        <v>224</v>
      </c>
    </row>
    <row r="4" spans="1:2" x14ac:dyDescent="0.3">
      <c r="A4" s="3">
        <v>1</v>
      </c>
      <c r="B4" s="4">
        <v>1</v>
      </c>
    </row>
    <row r="5" spans="1:2" x14ac:dyDescent="0.3">
      <c r="A5" s="3">
        <v>5</v>
      </c>
      <c r="B5" s="4">
        <v>1</v>
      </c>
    </row>
    <row r="6" spans="1:2" x14ac:dyDescent="0.3">
      <c r="A6" s="3">
        <v>8</v>
      </c>
      <c r="B6" s="4">
        <v>1</v>
      </c>
    </row>
    <row r="7" spans="1:2" x14ac:dyDescent="0.3">
      <c r="A7" s="3">
        <v>16</v>
      </c>
      <c r="B7" s="4">
        <v>2</v>
      </c>
    </row>
    <row r="8" spans="1:2" x14ac:dyDescent="0.3">
      <c r="A8" s="3">
        <v>18</v>
      </c>
      <c r="B8" s="4">
        <v>1</v>
      </c>
    </row>
    <row r="9" spans="1:2" x14ac:dyDescent="0.3">
      <c r="A9" s="3">
        <v>19</v>
      </c>
      <c r="B9" s="4">
        <v>1</v>
      </c>
    </row>
    <row r="10" spans="1:2" x14ac:dyDescent="0.3">
      <c r="A10" s="3">
        <v>22</v>
      </c>
      <c r="B10" s="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96D6-A5B7-44EB-BFA1-403C7DD6C6F3}">
  <dimension ref="A3:B5"/>
  <sheetViews>
    <sheetView workbookViewId="0">
      <selection activeCell="B3" sqref="B3"/>
    </sheetView>
  </sheetViews>
  <sheetFormatPr defaultRowHeight="14.4" x14ac:dyDescent="0.3"/>
  <cols>
    <col min="1" max="1" width="12.5546875" bestFit="1" customWidth="1"/>
    <col min="2" max="3" width="19.109375" bestFit="1" customWidth="1"/>
  </cols>
  <sheetData>
    <row r="3" spans="1:2" x14ac:dyDescent="0.3">
      <c r="A3" s="2" t="s">
        <v>219</v>
      </c>
      <c r="B3" t="s">
        <v>221</v>
      </c>
    </row>
    <row r="4" spans="1:2" x14ac:dyDescent="0.3">
      <c r="A4" s="3" t="s">
        <v>226</v>
      </c>
      <c r="B4" s="4">
        <v>4662</v>
      </c>
    </row>
    <row r="5" spans="1:2" x14ac:dyDescent="0.3">
      <c r="A5" s="3" t="s">
        <v>227</v>
      </c>
      <c r="B5" s="4">
        <v>2285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4142-4946-44BF-9ED0-31CF6F93AAD5}">
  <dimension ref="A3:B9"/>
  <sheetViews>
    <sheetView workbookViewId="0">
      <selection activeCell="E10" sqref="E10"/>
    </sheetView>
  </sheetViews>
  <sheetFormatPr defaultRowHeight="14.4" x14ac:dyDescent="0.3"/>
  <cols>
    <col min="1" max="1" width="12.5546875" bestFit="1" customWidth="1"/>
    <col min="2" max="2" width="20.44140625" bestFit="1" customWidth="1"/>
    <col min="3" max="3" width="19.109375" bestFit="1" customWidth="1"/>
    <col min="4" max="150" width="14.5546875" bestFit="1" customWidth="1"/>
    <col min="151" max="151" width="10.77734375" bestFit="1" customWidth="1"/>
  </cols>
  <sheetData>
    <row r="3" spans="1:2" x14ac:dyDescent="0.3">
      <c r="A3" s="2" t="s">
        <v>219</v>
      </c>
      <c r="B3" t="s">
        <v>224</v>
      </c>
    </row>
    <row r="4" spans="1:2" x14ac:dyDescent="0.3">
      <c r="A4" s="3" t="s">
        <v>56</v>
      </c>
      <c r="B4" s="4">
        <v>1</v>
      </c>
    </row>
    <row r="5" spans="1:2" x14ac:dyDescent="0.3">
      <c r="A5" s="3" t="s">
        <v>33</v>
      </c>
      <c r="B5" s="4">
        <v>1</v>
      </c>
    </row>
    <row r="6" spans="1:2" x14ac:dyDescent="0.3">
      <c r="A6" s="3" t="s">
        <v>50</v>
      </c>
      <c r="B6" s="4">
        <v>1</v>
      </c>
    </row>
    <row r="7" spans="1:2" x14ac:dyDescent="0.3">
      <c r="A7" s="3" t="s">
        <v>40</v>
      </c>
      <c r="B7" s="4">
        <v>1</v>
      </c>
    </row>
    <row r="8" spans="1:2" x14ac:dyDescent="0.3">
      <c r="A8" s="3" t="s">
        <v>25</v>
      </c>
      <c r="B8" s="4">
        <v>3</v>
      </c>
    </row>
    <row r="9" spans="1:2" x14ac:dyDescent="0.3">
      <c r="A9" s="3" t="s">
        <v>39</v>
      </c>
      <c r="B9"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023C-65D2-4D7B-B4CE-AA0F6DF597D2}">
  <dimension ref="A3:B15"/>
  <sheetViews>
    <sheetView topLeftCell="B3" workbookViewId="0">
      <selection activeCell="E11" sqref="E11"/>
    </sheetView>
  </sheetViews>
  <sheetFormatPr defaultRowHeight="14.4" x14ac:dyDescent="0.3"/>
  <cols>
    <col min="1" max="1" width="17.77734375" bestFit="1" customWidth="1"/>
    <col min="2" max="2" width="26.33203125" bestFit="1" customWidth="1"/>
  </cols>
  <sheetData>
    <row r="3" spans="1:2" x14ac:dyDescent="0.3">
      <c r="A3" s="2" t="s">
        <v>219</v>
      </c>
      <c r="B3" t="s">
        <v>230</v>
      </c>
    </row>
    <row r="4" spans="1:2" x14ac:dyDescent="0.3">
      <c r="A4" s="3" t="s">
        <v>229</v>
      </c>
      <c r="B4" s="4">
        <v>214166</v>
      </c>
    </row>
    <row r="5" spans="1:2" x14ac:dyDescent="0.3">
      <c r="A5" s="14" t="s">
        <v>151</v>
      </c>
      <c r="B5" s="4">
        <v>1386</v>
      </c>
    </row>
    <row r="6" spans="1:2" x14ac:dyDescent="0.3">
      <c r="A6" s="14" t="s">
        <v>23</v>
      </c>
      <c r="B6" s="4">
        <v>22096</v>
      </c>
    </row>
    <row r="7" spans="1:2" x14ac:dyDescent="0.3">
      <c r="A7" s="14" t="s">
        <v>66</v>
      </c>
      <c r="B7" s="4">
        <v>24996</v>
      </c>
    </row>
    <row r="8" spans="1:2" x14ac:dyDescent="0.3">
      <c r="A8" s="14" t="s">
        <v>38</v>
      </c>
      <c r="B8" s="4">
        <v>23415</v>
      </c>
    </row>
    <row r="9" spans="1:2" x14ac:dyDescent="0.3">
      <c r="A9" s="14" t="s">
        <v>60</v>
      </c>
      <c r="B9" s="4">
        <v>34476</v>
      </c>
    </row>
    <row r="10" spans="1:2" x14ac:dyDescent="0.3">
      <c r="A10" s="14" t="s">
        <v>76</v>
      </c>
      <c r="B10" s="4">
        <v>18290</v>
      </c>
    </row>
    <row r="11" spans="1:2" x14ac:dyDescent="0.3">
      <c r="A11" s="14" t="s">
        <v>82</v>
      </c>
      <c r="B11" s="4">
        <v>12016</v>
      </c>
    </row>
    <row r="12" spans="1:2" x14ac:dyDescent="0.3">
      <c r="A12" s="14" t="s">
        <v>55</v>
      </c>
      <c r="B12" s="4">
        <v>21085</v>
      </c>
    </row>
    <row r="13" spans="1:2" x14ac:dyDescent="0.3">
      <c r="A13" s="14" t="s">
        <v>32</v>
      </c>
      <c r="B13" s="4">
        <v>24536</v>
      </c>
    </row>
    <row r="14" spans="1:2" x14ac:dyDescent="0.3">
      <c r="A14" s="14" t="s">
        <v>105</v>
      </c>
      <c r="B14" s="4">
        <v>31870</v>
      </c>
    </row>
    <row r="15" spans="1:2" x14ac:dyDescent="0.3">
      <c r="A15" s="3" t="s">
        <v>220</v>
      </c>
      <c r="B15" s="4">
        <v>214166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5A6B-0092-4D52-8617-6099C9A750B8}">
  <dimension ref="A1:R179"/>
  <sheetViews>
    <sheetView tabSelected="1" topLeftCell="A119" workbookViewId="0">
      <selection activeCell="D126" sqref="A1:R150"/>
    </sheetView>
  </sheetViews>
  <sheetFormatPr defaultRowHeight="14.4" x14ac:dyDescent="0.3"/>
  <cols>
    <col min="1" max="1" width="23.109375" customWidth="1"/>
    <col min="2" max="2" width="21.33203125" customWidth="1"/>
    <col min="3" max="3" width="22" customWidth="1"/>
    <col min="4" max="4" width="21.6640625" customWidth="1"/>
    <col min="5" max="5" width="15.33203125" customWidth="1"/>
    <col min="7" max="7" width="14.5546875" customWidth="1"/>
    <col min="8" max="9" width="14.88671875" customWidth="1"/>
    <col min="10" max="10" width="18.21875" customWidth="1"/>
    <col min="11" max="11" width="18.5546875" customWidth="1"/>
    <col min="12" max="12" width="21.33203125" customWidth="1"/>
    <col min="13" max="13" width="20.44140625" customWidth="1"/>
    <col min="16" max="16" width="17.88671875" customWidth="1"/>
  </cols>
  <sheetData>
    <row r="1" spans="1:18" x14ac:dyDescent="0.3">
      <c r="A1" t="s">
        <v>0</v>
      </c>
      <c r="B1" t="s">
        <v>1</v>
      </c>
      <c r="C1" t="s">
        <v>2</v>
      </c>
      <c r="D1" t="s">
        <v>3</v>
      </c>
      <c r="E1" t="s">
        <v>4</v>
      </c>
      <c r="F1" t="s">
        <v>5</v>
      </c>
      <c r="G1" t="s">
        <v>6</v>
      </c>
      <c r="H1" t="s">
        <v>7</v>
      </c>
      <c r="I1" t="s">
        <v>228</v>
      </c>
      <c r="J1" t="s">
        <v>8</v>
      </c>
      <c r="K1" t="s">
        <v>9</v>
      </c>
      <c r="L1" t="s">
        <v>10</v>
      </c>
      <c r="M1" t="s">
        <v>11</v>
      </c>
      <c r="N1" t="s">
        <v>12</v>
      </c>
      <c r="O1" t="s">
        <v>13</v>
      </c>
      <c r="P1" t="s">
        <v>14</v>
      </c>
      <c r="Q1" t="s">
        <v>15</v>
      </c>
      <c r="R1" t="s">
        <v>16</v>
      </c>
    </row>
    <row r="2" spans="1:18" x14ac:dyDescent="0.3">
      <c r="A2" t="s">
        <v>17</v>
      </c>
      <c r="B2" s="1">
        <v>45573.636805555558</v>
      </c>
      <c r="C2" t="s">
        <v>18</v>
      </c>
      <c r="D2" t="s">
        <v>19</v>
      </c>
      <c r="E2">
        <v>868</v>
      </c>
      <c r="F2" t="s">
        <v>20</v>
      </c>
      <c r="G2" t="s">
        <v>21</v>
      </c>
      <c r="H2" t="s">
        <v>22</v>
      </c>
      <c r="I2" t="s">
        <v>229</v>
      </c>
      <c r="J2" t="s">
        <v>23</v>
      </c>
      <c r="K2" t="s">
        <v>24</v>
      </c>
      <c r="L2" t="s">
        <v>25</v>
      </c>
      <c r="M2" t="s">
        <v>26</v>
      </c>
      <c r="N2" t="s">
        <v>27</v>
      </c>
      <c r="O2">
        <v>0</v>
      </c>
      <c r="P2">
        <v>15</v>
      </c>
      <c r="Q2" t="s">
        <v>28</v>
      </c>
      <c r="R2">
        <v>0</v>
      </c>
    </row>
    <row r="3" spans="1:18" x14ac:dyDescent="0.3">
      <c r="A3" t="s">
        <v>29</v>
      </c>
      <c r="B3" s="1">
        <v>45393.288888888892</v>
      </c>
      <c r="C3" t="s">
        <v>30</v>
      </c>
      <c r="D3" t="s">
        <v>31</v>
      </c>
      <c r="E3">
        <v>1011</v>
      </c>
      <c r="F3" t="s">
        <v>20</v>
      </c>
      <c r="G3" t="s">
        <v>21</v>
      </c>
      <c r="H3" t="s">
        <v>21</v>
      </c>
      <c r="I3" t="s">
        <v>229</v>
      </c>
      <c r="J3" t="s">
        <v>32</v>
      </c>
      <c r="K3" t="s">
        <v>33</v>
      </c>
      <c r="L3" t="s">
        <v>24</v>
      </c>
      <c r="M3" t="s">
        <v>34</v>
      </c>
      <c r="N3" t="s">
        <v>27</v>
      </c>
      <c r="O3">
        <v>0</v>
      </c>
      <c r="P3">
        <v>6</v>
      </c>
      <c r="Q3" t="s">
        <v>35</v>
      </c>
      <c r="R3">
        <v>0</v>
      </c>
    </row>
    <row r="4" spans="1:18" x14ac:dyDescent="0.3">
      <c r="A4" t="s">
        <v>36</v>
      </c>
      <c r="B4" s="1">
        <v>45384.560416666667</v>
      </c>
      <c r="C4" t="s">
        <v>18</v>
      </c>
      <c r="D4" t="s">
        <v>31</v>
      </c>
      <c r="E4">
        <v>477</v>
      </c>
      <c r="F4" t="s">
        <v>20</v>
      </c>
      <c r="G4" t="s">
        <v>21</v>
      </c>
      <c r="H4" t="s">
        <v>37</v>
      </c>
      <c r="I4" t="s">
        <v>229</v>
      </c>
      <c r="J4" t="s">
        <v>38</v>
      </c>
      <c r="K4" t="s">
        <v>39</v>
      </c>
      <c r="L4" t="s">
        <v>40</v>
      </c>
      <c r="M4" t="s">
        <v>26</v>
      </c>
      <c r="N4" t="s">
        <v>27</v>
      </c>
      <c r="O4">
        <v>0</v>
      </c>
      <c r="P4">
        <v>13</v>
      </c>
      <c r="Q4" t="s">
        <v>28</v>
      </c>
      <c r="R4">
        <v>0</v>
      </c>
    </row>
    <row r="5" spans="1:18" x14ac:dyDescent="0.3">
      <c r="A5" t="s">
        <v>41</v>
      </c>
      <c r="B5" s="1">
        <v>45298.42291666667</v>
      </c>
      <c r="C5" t="s">
        <v>18</v>
      </c>
      <c r="D5" t="s">
        <v>42</v>
      </c>
      <c r="E5">
        <v>2784</v>
      </c>
      <c r="F5" t="s">
        <v>20</v>
      </c>
      <c r="G5" t="s">
        <v>21</v>
      </c>
      <c r="H5" t="s">
        <v>21</v>
      </c>
      <c r="I5" t="s">
        <v>229</v>
      </c>
      <c r="J5" t="s">
        <v>23</v>
      </c>
      <c r="K5" t="s">
        <v>33</v>
      </c>
      <c r="L5" t="s">
        <v>40</v>
      </c>
      <c r="M5" t="s">
        <v>26</v>
      </c>
      <c r="N5" t="s">
        <v>43</v>
      </c>
      <c r="O5">
        <v>0</v>
      </c>
      <c r="P5">
        <v>10</v>
      </c>
      <c r="Q5" t="s">
        <v>44</v>
      </c>
      <c r="R5">
        <v>1</v>
      </c>
    </row>
    <row r="6" spans="1:18" x14ac:dyDescent="0.3">
      <c r="A6" t="s">
        <v>45</v>
      </c>
      <c r="B6" s="1">
        <v>45314.794444444444</v>
      </c>
      <c r="C6" t="s">
        <v>18</v>
      </c>
      <c r="D6" t="s">
        <v>46</v>
      </c>
      <c r="E6">
        <v>990</v>
      </c>
      <c r="F6" t="s">
        <v>20</v>
      </c>
      <c r="G6" t="s">
        <v>21</v>
      </c>
      <c r="H6" t="s">
        <v>22</v>
      </c>
      <c r="I6" t="s">
        <v>229</v>
      </c>
      <c r="J6" t="s">
        <v>23</v>
      </c>
      <c r="K6" t="s">
        <v>24</v>
      </c>
      <c r="L6" t="s">
        <v>39</v>
      </c>
      <c r="M6" t="s">
        <v>34</v>
      </c>
      <c r="N6" t="s">
        <v>47</v>
      </c>
      <c r="O6">
        <v>0</v>
      </c>
      <c r="P6">
        <v>19</v>
      </c>
      <c r="Q6" t="s">
        <v>28</v>
      </c>
      <c r="R6">
        <v>0</v>
      </c>
    </row>
    <row r="7" spans="1:18" x14ac:dyDescent="0.3">
      <c r="A7" t="s">
        <v>48</v>
      </c>
      <c r="B7" s="1">
        <v>45572.938888888886</v>
      </c>
      <c r="C7" t="s">
        <v>18</v>
      </c>
      <c r="D7" t="s">
        <v>49</v>
      </c>
      <c r="E7">
        <v>91</v>
      </c>
      <c r="F7" t="s">
        <v>20</v>
      </c>
      <c r="G7" t="s">
        <v>37</v>
      </c>
      <c r="H7" t="s">
        <v>22</v>
      </c>
      <c r="I7" t="s">
        <v>229</v>
      </c>
      <c r="J7" t="s">
        <v>38</v>
      </c>
      <c r="K7" t="s">
        <v>50</v>
      </c>
      <c r="L7" t="s">
        <v>39</v>
      </c>
      <c r="M7" t="s">
        <v>26</v>
      </c>
      <c r="N7" t="s">
        <v>51</v>
      </c>
      <c r="O7">
        <v>0</v>
      </c>
      <c r="P7">
        <v>22</v>
      </c>
      <c r="Q7" t="s">
        <v>52</v>
      </c>
      <c r="R7">
        <v>0</v>
      </c>
    </row>
    <row r="8" spans="1:18" x14ac:dyDescent="0.3">
      <c r="A8" t="s">
        <v>53</v>
      </c>
      <c r="B8" s="1">
        <v>45330.434027777781</v>
      </c>
      <c r="C8" t="s">
        <v>18</v>
      </c>
      <c r="D8" t="s">
        <v>54</v>
      </c>
      <c r="E8">
        <v>314</v>
      </c>
      <c r="F8" t="s">
        <v>20</v>
      </c>
      <c r="G8" t="s">
        <v>37</v>
      </c>
      <c r="H8" t="s">
        <v>22</v>
      </c>
      <c r="I8" t="s">
        <v>229</v>
      </c>
      <c r="J8" t="s">
        <v>55</v>
      </c>
      <c r="K8" t="s">
        <v>56</v>
      </c>
      <c r="L8" t="s">
        <v>50</v>
      </c>
      <c r="M8" t="s">
        <v>26</v>
      </c>
      <c r="N8" t="s">
        <v>27</v>
      </c>
      <c r="O8">
        <v>0</v>
      </c>
      <c r="P8">
        <v>10</v>
      </c>
      <c r="Q8" t="s">
        <v>35</v>
      </c>
      <c r="R8">
        <v>0</v>
      </c>
    </row>
    <row r="9" spans="1:18" x14ac:dyDescent="0.3">
      <c r="A9" t="s">
        <v>57</v>
      </c>
      <c r="B9" s="1">
        <v>45592.782638888886</v>
      </c>
      <c r="C9" t="s">
        <v>18</v>
      </c>
      <c r="D9" t="s">
        <v>58</v>
      </c>
      <c r="E9">
        <v>264</v>
      </c>
      <c r="F9" t="s">
        <v>20</v>
      </c>
      <c r="G9" t="s">
        <v>59</v>
      </c>
      <c r="H9" t="s">
        <v>37</v>
      </c>
      <c r="I9" t="s">
        <v>229</v>
      </c>
      <c r="J9" t="s">
        <v>60</v>
      </c>
      <c r="K9" t="s">
        <v>39</v>
      </c>
      <c r="L9" t="s">
        <v>25</v>
      </c>
      <c r="M9" t="s">
        <v>26</v>
      </c>
      <c r="N9" t="s">
        <v>43</v>
      </c>
      <c r="O9">
        <v>0</v>
      </c>
      <c r="P9">
        <v>18</v>
      </c>
      <c r="Q9" t="s">
        <v>44</v>
      </c>
      <c r="R9">
        <v>1</v>
      </c>
    </row>
    <row r="10" spans="1:18" x14ac:dyDescent="0.3">
      <c r="A10" t="s">
        <v>61</v>
      </c>
      <c r="B10" s="1">
        <v>45617.402083333334</v>
      </c>
      <c r="C10" t="s">
        <v>18</v>
      </c>
      <c r="D10" t="s">
        <v>54</v>
      </c>
      <c r="E10">
        <v>887</v>
      </c>
      <c r="F10" t="s">
        <v>20</v>
      </c>
      <c r="G10" t="s">
        <v>59</v>
      </c>
      <c r="H10" t="s">
        <v>37</v>
      </c>
      <c r="I10" t="s">
        <v>229</v>
      </c>
      <c r="J10" t="s">
        <v>60</v>
      </c>
      <c r="K10" t="s">
        <v>62</v>
      </c>
      <c r="L10" t="s">
        <v>56</v>
      </c>
      <c r="M10" t="s">
        <v>26</v>
      </c>
      <c r="N10" t="s">
        <v>27</v>
      </c>
      <c r="O10">
        <v>0</v>
      </c>
      <c r="P10">
        <v>9</v>
      </c>
      <c r="Q10" t="s">
        <v>35</v>
      </c>
      <c r="R10">
        <v>0</v>
      </c>
    </row>
    <row r="11" spans="1:18" x14ac:dyDescent="0.3">
      <c r="A11" t="s">
        <v>63</v>
      </c>
      <c r="B11" s="1">
        <v>45607.665277777778</v>
      </c>
      <c r="C11" t="s">
        <v>30</v>
      </c>
      <c r="D11" t="s">
        <v>31</v>
      </c>
      <c r="E11">
        <v>3260</v>
      </c>
      <c r="F11" t="s">
        <v>20</v>
      </c>
      <c r="G11" t="s">
        <v>59</v>
      </c>
      <c r="H11" t="s">
        <v>22</v>
      </c>
      <c r="I11" t="s">
        <v>229</v>
      </c>
      <c r="J11" t="s">
        <v>23</v>
      </c>
      <c r="K11" t="s">
        <v>25</v>
      </c>
      <c r="L11" t="s">
        <v>56</v>
      </c>
      <c r="M11" t="s">
        <v>26</v>
      </c>
      <c r="N11" t="s">
        <v>27</v>
      </c>
      <c r="O11">
        <v>0</v>
      </c>
      <c r="P11">
        <v>15</v>
      </c>
      <c r="Q11" t="s">
        <v>52</v>
      </c>
      <c r="R11">
        <v>0</v>
      </c>
    </row>
    <row r="12" spans="1:18" x14ac:dyDescent="0.3">
      <c r="A12" t="s">
        <v>64</v>
      </c>
      <c r="B12" s="1">
        <v>45389.843055555553</v>
      </c>
      <c r="C12" t="s">
        <v>18</v>
      </c>
      <c r="D12" t="s">
        <v>49</v>
      </c>
      <c r="E12">
        <v>587</v>
      </c>
      <c r="F12" t="s">
        <v>20</v>
      </c>
      <c r="G12" t="s">
        <v>21</v>
      </c>
      <c r="H12" t="s">
        <v>59</v>
      </c>
      <c r="I12" t="s">
        <v>229</v>
      </c>
      <c r="J12" t="s">
        <v>38</v>
      </c>
      <c r="K12" t="s">
        <v>25</v>
      </c>
      <c r="L12" t="s">
        <v>25</v>
      </c>
      <c r="M12" t="s">
        <v>26</v>
      </c>
      <c r="N12" t="s">
        <v>27</v>
      </c>
      <c r="O12">
        <v>0</v>
      </c>
      <c r="P12">
        <v>20</v>
      </c>
      <c r="Q12" t="s">
        <v>44</v>
      </c>
      <c r="R12">
        <v>1</v>
      </c>
    </row>
    <row r="13" spans="1:18" x14ac:dyDescent="0.3">
      <c r="A13" t="s">
        <v>65</v>
      </c>
      <c r="B13" s="1">
        <v>45650.447222222225</v>
      </c>
      <c r="C13" t="s">
        <v>30</v>
      </c>
      <c r="D13" t="s">
        <v>54</v>
      </c>
      <c r="E13">
        <v>518</v>
      </c>
      <c r="F13" t="s">
        <v>20</v>
      </c>
      <c r="G13" t="s">
        <v>21</v>
      </c>
      <c r="H13" t="s">
        <v>22</v>
      </c>
      <c r="I13" t="s">
        <v>229</v>
      </c>
      <c r="J13" t="s">
        <v>66</v>
      </c>
      <c r="K13" t="s">
        <v>39</v>
      </c>
      <c r="L13" t="s">
        <v>25</v>
      </c>
      <c r="M13" t="s">
        <v>26</v>
      </c>
      <c r="N13" t="s">
        <v>27</v>
      </c>
      <c r="O13">
        <v>0</v>
      </c>
      <c r="P13">
        <v>10</v>
      </c>
      <c r="Q13" t="s">
        <v>28</v>
      </c>
      <c r="R13">
        <v>0</v>
      </c>
    </row>
    <row r="14" spans="1:18" x14ac:dyDescent="0.3">
      <c r="A14" t="s">
        <v>67</v>
      </c>
      <c r="B14" s="1">
        <v>45612.839583333334</v>
      </c>
      <c r="C14" t="s">
        <v>18</v>
      </c>
      <c r="D14" t="s">
        <v>68</v>
      </c>
      <c r="E14">
        <v>73</v>
      </c>
      <c r="F14" t="s">
        <v>20</v>
      </c>
      <c r="G14" t="s">
        <v>21</v>
      </c>
      <c r="H14" t="s">
        <v>22</v>
      </c>
      <c r="I14" t="s">
        <v>229</v>
      </c>
      <c r="J14" t="s">
        <v>32</v>
      </c>
      <c r="K14" t="s">
        <v>24</v>
      </c>
      <c r="L14" t="s">
        <v>62</v>
      </c>
      <c r="M14" t="s">
        <v>26</v>
      </c>
      <c r="N14" t="s">
        <v>27</v>
      </c>
      <c r="O14">
        <v>0</v>
      </c>
      <c r="P14">
        <v>20</v>
      </c>
      <c r="Q14" t="s">
        <v>69</v>
      </c>
      <c r="R14">
        <v>1</v>
      </c>
    </row>
    <row r="15" spans="1:18" x14ac:dyDescent="0.3">
      <c r="A15" t="s">
        <v>70</v>
      </c>
      <c r="B15" s="1">
        <v>45392.035416666666</v>
      </c>
      <c r="C15" t="s">
        <v>71</v>
      </c>
      <c r="D15" t="s">
        <v>31</v>
      </c>
      <c r="E15">
        <v>430</v>
      </c>
      <c r="F15" t="s">
        <v>20</v>
      </c>
      <c r="G15" t="s">
        <v>72</v>
      </c>
      <c r="H15" t="s">
        <v>37</v>
      </c>
      <c r="I15" t="s">
        <v>229</v>
      </c>
      <c r="J15" t="s">
        <v>66</v>
      </c>
      <c r="K15" t="s">
        <v>39</v>
      </c>
      <c r="L15" t="s">
        <v>39</v>
      </c>
      <c r="M15" t="s">
        <v>26</v>
      </c>
      <c r="N15" t="s">
        <v>27</v>
      </c>
      <c r="O15">
        <v>0</v>
      </c>
      <c r="P15">
        <v>0</v>
      </c>
      <c r="Q15" t="s">
        <v>73</v>
      </c>
      <c r="R15">
        <v>0</v>
      </c>
    </row>
    <row r="16" spans="1:18" x14ac:dyDescent="0.3">
      <c r="A16" t="s">
        <v>74</v>
      </c>
      <c r="B16" s="1">
        <v>45325.524305555555</v>
      </c>
      <c r="C16" t="s">
        <v>18</v>
      </c>
      <c r="D16" t="s">
        <v>68</v>
      </c>
      <c r="E16">
        <v>544</v>
      </c>
      <c r="F16" t="s">
        <v>20</v>
      </c>
      <c r="G16" t="s">
        <v>22</v>
      </c>
      <c r="H16" t="s">
        <v>59</v>
      </c>
      <c r="I16" t="s">
        <v>229</v>
      </c>
      <c r="J16" t="s">
        <v>32</v>
      </c>
      <c r="K16" t="s">
        <v>50</v>
      </c>
      <c r="L16" t="s">
        <v>24</v>
      </c>
      <c r="M16" t="s">
        <v>26</v>
      </c>
      <c r="N16" t="s">
        <v>43</v>
      </c>
      <c r="O16">
        <v>0</v>
      </c>
      <c r="P16">
        <v>12</v>
      </c>
      <c r="Q16" t="s">
        <v>69</v>
      </c>
      <c r="R16">
        <v>1</v>
      </c>
    </row>
    <row r="17" spans="1:18" x14ac:dyDescent="0.3">
      <c r="A17" t="s">
        <v>75</v>
      </c>
      <c r="B17" s="1">
        <v>45605.63958333333</v>
      </c>
      <c r="C17" t="s">
        <v>30</v>
      </c>
      <c r="D17" t="s">
        <v>31</v>
      </c>
      <c r="E17">
        <v>1346</v>
      </c>
      <c r="F17" t="s">
        <v>20</v>
      </c>
      <c r="G17" t="s">
        <v>22</v>
      </c>
      <c r="H17" t="s">
        <v>22</v>
      </c>
      <c r="I17" t="s">
        <v>229</v>
      </c>
      <c r="J17" t="s">
        <v>76</v>
      </c>
      <c r="K17" t="s">
        <v>25</v>
      </c>
      <c r="L17" t="s">
        <v>25</v>
      </c>
      <c r="M17" t="s">
        <v>26</v>
      </c>
      <c r="N17" t="s">
        <v>43</v>
      </c>
      <c r="O17">
        <v>0</v>
      </c>
      <c r="P17">
        <v>15</v>
      </c>
      <c r="Q17" t="s">
        <v>69</v>
      </c>
      <c r="R17">
        <v>1</v>
      </c>
    </row>
    <row r="18" spans="1:18" x14ac:dyDescent="0.3">
      <c r="A18" t="s">
        <v>77</v>
      </c>
      <c r="B18" s="1">
        <v>45316.310416666667</v>
      </c>
      <c r="C18" t="s">
        <v>18</v>
      </c>
      <c r="D18" t="s">
        <v>49</v>
      </c>
      <c r="E18">
        <v>171</v>
      </c>
      <c r="F18" t="s">
        <v>20</v>
      </c>
      <c r="G18" t="s">
        <v>59</v>
      </c>
      <c r="H18" t="s">
        <v>22</v>
      </c>
      <c r="I18" t="s">
        <v>229</v>
      </c>
      <c r="J18" t="s">
        <v>23</v>
      </c>
      <c r="K18" t="s">
        <v>56</v>
      </c>
      <c r="L18" t="s">
        <v>25</v>
      </c>
      <c r="M18" t="s">
        <v>26</v>
      </c>
      <c r="N18" t="s">
        <v>43</v>
      </c>
      <c r="O18">
        <v>0</v>
      </c>
      <c r="P18">
        <v>7</v>
      </c>
      <c r="Q18" t="s">
        <v>35</v>
      </c>
      <c r="R18">
        <v>0</v>
      </c>
    </row>
    <row r="19" spans="1:18" x14ac:dyDescent="0.3">
      <c r="A19" t="s">
        <v>78</v>
      </c>
      <c r="B19" s="1">
        <v>45431.776388888888</v>
      </c>
      <c r="C19" t="s">
        <v>30</v>
      </c>
      <c r="D19" t="s">
        <v>79</v>
      </c>
      <c r="E19">
        <v>189</v>
      </c>
      <c r="F19" t="s">
        <v>20</v>
      </c>
      <c r="G19" t="s">
        <v>22</v>
      </c>
      <c r="H19" t="s">
        <v>22</v>
      </c>
      <c r="I19" t="s">
        <v>229</v>
      </c>
      <c r="J19" t="s">
        <v>66</v>
      </c>
      <c r="K19" t="s">
        <v>25</v>
      </c>
      <c r="L19" t="s">
        <v>40</v>
      </c>
      <c r="M19" t="s">
        <v>34</v>
      </c>
      <c r="N19" t="s">
        <v>43</v>
      </c>
      <c r="O19">
        <v>0</v>
      </c>
      <c r="P19">
        <v>18</v>
      </c>
      <c r="Q19" t="s">
        <v>44</v>
      </c>
      <c r="R19">
        <v>1</v>
      </c>
    </row>
    <row r="20" spans="1:18" x14ac:dyDescent="0.3">
      <c r="A20" t="s">
        <v>80</v>
      </c>
      <c r="B20" s="1">
        <v>45607.922222222223</v>
      </c>
      <c r="C20" t="s">
        <v>18</v>
      </c>
      <c r="D20" t="s">
        <v>79</v>
      </c>
      <c r="E20">
        <v>799</v>
      </c>
      <c r="F20" t="s">
        <v>20</v>
      </c>
      <c r="G20" t="s">
        <v>21</v>
      </c>
      <c r="H20" t="s">
        <v>22</v>
      </c>
      <c r="I20" t="s">
        <v>229</v>
      </c>
      <c r="J20" t="s">
        <v>38</v>
      </c>
      <c r="K20" t="s">
        <v>33</v>
      </c>
      <c r="L20" t="s">
        <v>25</v>
      </c>
      <c r="M20" t="s">
        <v>26</v>
      </c>
      <c r="N20" t="s">
        <v>27</v>
      </c>
      <c r="O20">
        <v>0</v>
      </c>
      <c r="P20">
        <v>22</v>
      </c>
      <c r="Q20" t="s">
        <v>52</v>
      </c>
      <c r="R20">
        <v>0</v>
      </c>
    </row>
    <row r="21" spans="1:18" x14ac:dyDescent="0.3">
      <c r="A21" t="s">
        <v>81</v>
      </c>
      <c r="B21" s="1">
        <v>45456.767361111109</v>
      </c>
      <c r="C21" t="s">
        <v>18</v>
      </c>
      <c r="D21" t="s">
        <v>58</v>
      </c>
      <c r="E21">
        <v>450</v>
      </c>
      <c r="F21" t="s">
        <v>20</v>
      </c>
      <c r="G21" t="s">
        <v>21</v>
      </c>
      <c r="H21" t="s">
        <v>37</v>
      </c>
      <c r="I21" t="s">
        <v>229</v>
      </c>
      <c r="J21" t="s">
        <v>82</v>
      </c>
      <c r="K21" t="s">
        <v>39</v>
      </c>
      <c r="L21" t="s">
        <v>50</v>
      </c>
      <c r="M21" t="s">
        <v>34</v>
      </c>
      <c r="N21" t="s">
        <v>47</v>
      </c>
      <c r="O21">
        <v>0</v>
      </c>
      <c r="P21">
        <v>18</v>
      </c>
      <c r="Q21" t="s">
        <v>35</v>
      </c>
      <c r="R21">
        <v>0</v>
      </c>
    </row>
    <row r="22" spans="1:18" x14ac:dyDescent="0.3">
      <c r="A22" t="s">
        <v>83</v>
      </c>
      <c r="B22" s="1">
        <v>45431.445138888892</v>
      </c>
      <c r="C22" t="s">
        <v>71</v>
      </c>
      <c r="D22" t="s">
        <v>49</v>
      </c>
      <c r="E22">
        <v>1341</v>
      </c>
      <c r="F22" t="s">
        <v>20</v>
      </c>
      <c r="G22" t="s">
        <v>37</v>
      </c>
      <c r="H22" t="s">
        <v>21</v>
      </c>
      <c r="I22" t="s">
        <v>229</v>
      </c>
      <c r="J22" t="s">
        <v>38</v>
      </c>
      <c r="K22" t="s">
        <v>25</v>
      </c>
      <c r="L22" t="s">
        <v>33</v>
      </c>
      <c r="M22" t="s">
        <v>26</v>
      </c>
      <c r="N22" t="s">
        <v>47</v>
      </c>
      <c r="O22">
        <v>0</v>
      </c>
      <c r="P22">
        <v>10</v>
      </c>
      <c r="Q22" t="s">
        <v>44</v>
      </c>
      <c r="R22">
        <v>1</v>
      </c>
    </row>
    <row r="23" spans="1:18" x14ac:dyDescent="0.3">
      <c r="A23" t="s">
        <v>84</v>
      </c>
      <c r="B23" s="1">
        <v>45598.717361111114</v>
      </c>
      <c r="C23" t="s">
        <v>85</v>
      </c>
      <c r="D23" t="s">
        <v>19</v>
      </c>
      <c r="E23">
        <v>280</v>
      </c>
      <c r="F23" t="s">
        <v>20</v>
      </c>
      <c r="G23" t="s">
        <v>21</v>
      </c>
      <c r="H23" t="s">
        <v>21</v>
      </c>
      <c r="I23" t="s">
        <v>229</v>
      </c>
      <c r="J23" t="s">
        <v>60</v>
      </c>
      <c r="K23" t="s">
        <v>25</v>
      </c>
      <c r="L23" t="s">
        <v>40</v>
      </c>
      <c r="M23" t="s">
        <v>26</v>
      </c>
      <c r="N23" t="s">
        <v>27</v>
      </c>
      <c r="O23">
        <v>0</v>
      </c>
      <c r="P23">
        <v>17</v>
      </c>
      <c r="Q23" t="s">
        <v>69</v>
      </c>
      <c r="R23">
        <v>1</v>
      </c>
    </row>
    <row r="24" spans="1:18" x14ac:dyDescent="0.3">
      <c r="A24" t="s">
        <v>86</v>
      </c>
      <c r="B24" s="1">
        <v>45583.190972222219</v>
      </c>
      <c r="C24" t="s">
        <v>18</v>
      </c>
      <c r="D24" t="s">
        <v>46</v>
      </c>
      <c r="E24">
        <v>397</v>
      </c>
      <c r="F24" t="s">
        <v>20</v>
      </c>
      <c r="G24" t="s">
        <v>22</v>
      </c>
      <c r="H24" t="s">
        <v>21</v>
      </c>
      <c r="I24" t="s">
        <v>229</v>
      </c>
      <c r="J24" t="s">
        <v>23</v>
      </c>
      <c r="K24" t="s">
        <v>24</v>
      </c>
      <c r="L24" t="s">
        <v>25</v>
      </c>
      <c r="M24" t="s">
        <v>26</v>
      </c>
      <c r="N24" t="s">
        <v>43</v>
      </c>
      <c r="O24">
        <v>0</v>
      </c>
      <c r="P24">
        <v>4</v>
      </c>
      <c r="Q24" t="s">
        <v>87</v>
      </c>
      <c r="R24">
        <v>0</v>
      </c>
    </row>
    <row r="25" spans="1:18" x14ac:dyDescent="0.3">
      <c r="A25" t="s">
        <v>88</v>
      </c>
      <c r="B25" s="1">
        <v>45312.331250000003</v>
      </c>
      <c r="C25" t="s">
        <v>30</v>
      </c>
      <c r="D25" t="s">
        <v>31</v>
      </c>
      <c r="E25">
        <v>1847</v>
      </c>
      <c r="F25" t="s">
        <v>20</v>
      </c>
      <c r="G25" t="s">
        <v>22</v>
      </c>
      <c r="H25" t="s">
        <v>59</v>
      </c>
      <c r="I25" t="s">
        <v>229</v>
      </c>
      <c r="J25" t="s">
        <v>66</v>
      </c>
      <c r="K25" t="s">
        <v>56</v>
      </c>
      <c r="L25" t="s">
        <v>39</v>
      </c>
      <c r="M25" t="s">
        <v>26</v>
      </c>
      <c r="N25" t="s">
        <v>43</v>
      </c>
      <c r="O25">
        <v>0</v>
      </c>
      <c r="P25">
        <v>7</v>
      </c>
      <c r="Q25" t="s">
        <v>44</v>
      </c>
      <c r="R25">
        <v>1</v>
      </c>
    </row>
    <row r="26" spans="1:18" x14ac:dyDescent="0.3">
      <c r="A26" t="s">
        <v>89</v>
      </c>
      <c r="B26" s="1">
        <v>45315.446527777778</v>
      </c>
      <c r="C26" t="s">
        <v>71</v>
      </c>
      <c r="D26" t="s">
        <v>31</v>
      </c>
      <c r="E26">
        <v>690</v>
      </c>
      <c r="F26" t="s">
        <v>20</v>
      </c>
      <c r="G26" t="s">
        <v>21</v>
      </c>
      <c r="H26" t="s">
        <v>21</v>
      </c>
      <c r="I26" t="s">
        <v>229</v>
      </c>
      <c r="J26" t="s">
        <v>82</v>
      </c>
      <c r="K26" t="s">
        <v>39</v>
      </c>
      <c r="L26" t="s">
        <v>40</v>
      </c>
      <c r="M26" t="s">
        <v>34</v>
      </c>
      <c r="N26" t="s">
        <v>43</v>
      </c>
      <c r="O26">
        <v>0</v>
      </c>
      <c r="P26">
        <v>10</v>
      </c>
      <c r="Q26" t="s">
        <v>73</v>
      </c>
      <c r="R26">
        <v>0</v>
      </c>
    </row>
    <row r="27" spans="1:18" x14ac:dyDescent="0.3">
      <c r="A27" t="s">
        <v>90</v>
      </c>
      <c r="B27" s="1">
        <v>45474.500694444447</v>
      </c>
      <c r="C27" t="s">
        <v>71</v>
      </c>
      <c r="D27" t="s">
        <v>19</v>
      </c>
      <c r="E27">
        <v>218</v>
      </c>
      <c r="F27" t="s">
        <v>20</v>
      </c>
      <c r="G27" t="s">
        <v>22</v>
      </c>
      <c r="H27" t="s">
        <v>37</v>
      </c>
      <c r="I27" t="s">
        <v>229</v>
      </c>
      <c r="J27" t="s">
        <v>38</v>
      </c>
      <c r="K27" t="s">
        <v>24</v>
      </c>
      <c r="L27" t="s">
        <v>39</v>
      </c>
      <c r="M27" t="s">
        <v>26</v>
      </c>
      <c r="N27" t="s">
        <v>27</v>
      </c>
      <c r="O27">
        <v>0</v>
      </c>
      <c r="P27">
        <v>12</v>
      </c>
      <c r="Q27" t="s">
        <v>52</v>
      </c>
      <c r="R27">
        <v>0</v>
      </c>
    </row>
    <row r="28" spans="1:18" x14ac:dyDescent="0.3">
      <c r="A28" t="s">
        <v>91</v>
      </c>
      <c r="B28" s="1">
        <v>45532.881944444445</v>
      </c>
      <c r="C28" t="s">
        <v>18</v>
      </c>
      <c r="D28" t="s">
        <v>49</v>
      </c>
      <c r="E28">
        <v>1276</v>
      </c>
      <c r="F28" t="s">
        <v>20</v>
      </c>
      <c r="G28" t="s">
        <v>22</v>
      </c>
      <c r="H28" t="s">
        <v>22</v>
      </c>
      <c r="I28" t="s">
        <v>229</v>
      </c>
      <c r="J28" t="s">
        <v>38</v>
      </c>
      <c r="K28" t="s">
        <v>62</v>
      </c>
      <c r="L28" t="s">
        <v>56</v>
      </c>
      <c r="M28" t="s">
        <v>26</v>
      </c>
      <c r="N28" t="s">
        <v>43</v>
      </c>
      <c r="O28">
        <v>0</v>
      </c>
      <c r="P28">
        <v>21</v>
      </c>
      <c r="Q28" t="s">
        <v>73</v>
      </c>
      <c r="R28">
        <v>0</v>
      </c>
    </row>
    <row r="29" spans="1:18" x14ac:dyDescent="0.3">
      <c r="A29" t="s">
        <v>92</v>
      </c>
      <c r="B29" s="1">
        <v>45605.78402777778</v>
      </c>
      <c r="C29" t="s">
        <v>18</v>
      </c>
      <c r="D29" t="s">
        <v>31</v>
      </c>
      <c r="E29">
        <v>146</v>
      </c>
      <c r="F29" t="s">
        <v>20</v>
      </c>
      <c r="G29" t="s">
        <v>21</v>
      </c>
      <c r="H29" t="s">
        <v>37</v>
      </c>
      <c r="I29" t="s">
        <v>229</v>
      </c>
      <c r="J29" t="s">
        <v>23</v>
      </c>
      <c r="K29" t="s">
        <v>40</v>
      </c>
      <c r="L29" t="s">
        <v>56</v>
      </c>
      <c r="M29" t="s">
        <v>34</v>
      </c>
      <c r="N29" t="s">
        <v>27</v>
      </c>
      <c r="O29">
        <v>0</v>
      </c>
      <c r="P29">
        <v>18</v>
      </c>
      <c r="Q29" t="s">
        <v>69</v>
      </c>
      <c r="R29">
        <v>1</v>
      </c>
    </row>
    <row r="30" spans="1:18" x14ac:dyDescent="0.3">
      <c r="A30" t="s">
        <v>93</v>
      </c>
      <c r="B30" s="1">
        <v>45544.64166666667</v>
      </c>
      <c r="C30" t="s">
        <v>18</v>
      </c>
      <c r="D30" t="s">
        <v>31</v>
      </c>
      <c r="E30">
        <v>1755</v>
      </c>
      <c r="F30" t="s">
        <v>20</v>
      </c>
      <c r="G30" t="s">
        <v>37</v>
      </c>
      <c r="H30" t="s">
        <v>37</v>
      </c>
      <c r="I30" t="s">
        <v>229</v>
      </c>
      <c r="J30" t="s">
        <v>23</v>
      </c>
      <c r="K30" t="s">
        <v>25</v>
      </c>
      <c r="L30" t="s">
        <v>50</v>
      </c>
      <c r="M30" t="s">
        <v>94</v>
      </c>
      <c r="N30" t="s">
        <v>47</v>
      </c>
      <c r="O30">
        <v>0</v>
      </c>
      <c r="P30">
        <v>15</v>
      </c>
      <c r="Q30" t="s">
        <v>52</v>
      </c>
      <c r="R30">
        <v>0</v>
      </c>
    </row>
    <row r="31" spans="1:18" x14ac:dyDescent="0.3">
      <c r="A31" t="s">
        <v>95</v>
      </c>
      <c r="B31" s="1">
        <v>45583.738194444442</v>
      </c>
      <c r="C31" t="s">
        <v>71</v>
      </c>
      <c r="D31" t="s">
        <v>68</v>
      </c>
      <c r="E31">
        <v>165</v>
      </c>
      <c r="F31" t="s">
        <v>20</v>
      </c>
      <c r="G31" t="s">
        <v>22</v>
      </c>
      <c r="H31" t="s">
        <v>21</v>
      </c>
      <c r="I31" t="s">
        <v>229</v>
      </c>
      <c r="J31" t="s">
        <v>76</v>
      </c>
      <c r="K31" t="s">
        <v>25</v>
      </c>
      <c r="L31" t="s">
        <v>25</v>
      </c>
      <c r="M31" t="s">
        <v>26</v>
      </c>
      <c r="N31" t="s">
        <v>27</v>
      </c>
      <c r="O31">
        <v>0</v>
      </c>
      <c r="P31">
        <v>17</v>
      </c>
      <c r="Q31" t="s">
        <v>87</v>
      </c>
      <c r="R31">
        <v>0</v>
      </c>
    </row>
    <row r="32" spans="1:18" x14ac:dyDescent="0.3">
      <c r="A32" t="s">
        <v>96</v>
      </c>
      <c r="B32" s="1">
        <v>45646.677083333336</v>
      </c>
      <c r="C32" t="s">
        <v>18</v>
      </c>
      <c r="D32" t="s">
        <v>79</v>
      </c>
      <c r="E32">
        <v>1495</v>
      </c>
      <c r="F32" t="s">
        <v>20</v>
      </c>
      <c r="G32" t="s">
        <v>21</v>
      </c>
      <c r="H32" t="s">
        <v>37</v>
      </c>
      <c r="I32" t="s">
        <v>229</v>
      </c>
      <c r="J32" t="s">
        <v>66</v>
      </c>
      <c r="K32" t="s">
        <v>25</v>
      </c>
      <c r="L32" t="s">
        <v>56</v>
      </c>
      <c r="M32" t="s">
        <v>26</v>
      </c>
      <c r="N32" t="s">
        <v>27</v>
      </c>
      <c r="O32">
        <v>0</v>
      </c>
      <c r="P32">
        <v>16</v>
      </c>
      <c r="Q32" t="s">
        <v>87</v>
      </c>
      <c r="R32">
        <v>0</v>
      </c>
    </row>
    <row r="33" spans="1:18" x14ac:dyDescent="0.3">
      <c r="A33" t="s">
        <v>97</v>
      </c>
      <c r="B33" s="1">
        <v>45643.697916666664</v>
      </c>
      <c r="C33" t="s">
        <v>18</v>
      </c>
      <c r="D33" t="s">
        <v>31</v>
      </c>
      <c r="E33">
        <v>394</v>
      </c>
      <c r="F33" t="s">
        <v>20</v>
      </c>
      <c r="G33" t="s">
        <v>22</v>
      </c>
      <c r="H33" t="s">
        <v>22</v>
      </c>
      <c r="I33" t="s">
        <v>229</v>
      </c>
      <c r="J33" t="s">
        <v>66</v>
      </c>
      <c r="K33" t="s">
        <v>39</v>
      </c>
      <c r="L33" t="s">
        <v>25</v>
      </c>
      <c r="M33" t="s">
        <v>26</v>
      </c>
      <c r="N33" t="s">
        <v>43</v>
      </c>
      <c r="O33">
        <v>0</v>
      </c>
      <c r="P33">
        <v>16</v>
      </c>
      <c r="Q33" t="s">
        <v>28</v>
      </c>
      <c r="R33">
        <v>0</v>
      </c>
    </row>
    <row r="34" spans="1:18" x14ac:dyDescent="0.3">
      <c r="A34" t="s">
        <v>98</v>
      </c>
      <c r="B34" s="1">
        <v>45423.699305555558</v>
      </c>
      <c r="C34" t="s">
        <v>85</v>
      </c>
      <c r="D34" t="s">
        <v>46</v>
      </c>
      <c r="E34">
        <v>1693</v>
      </c>
      <c r="F34" t="s">
        <v>20</v>
      </c>
      <c r="G34" t="s">
        <v>21</v>
      </c>
      <c r="H34" t="s">
        <v>37</v>
      </c>
      <c r="I34" t="s">
        <v>229</v>
      </c>
      <c r="J34" t="s">
        <v>55</v>
      </c>
      <c r="K34" t="s">
        <v>25</v>
      </c>
      <c r="L34" t="s">
        <v>50</v>
      </c>
      <c r="M34" t="s">
        <v>26</v>
      </c>
      <c r="N34" t="s">
        <v>43</v>
      </c>
      <c r="O34">
        <v>0</v>
      </c>
      <c r="P34">
        <v>16</v>
      </c>
      <c r="Q34" t="s">
        <v>69</v>
      </c>
      <c r="R34">
        <v>1</v>
      </c>
    </row>
    <row r="35" spans="1:18" x14ac:dyDescent="0.3">
      <c r="A35" t="s">
        <v>99</v>
      </c>
      <c r="B35" s="1">
        <v>45437.5625</v>
      </c>
      <c r="C35" t="s">
        <v>30</v>
      </c>
      <c r="D35" t="s">
        <v>49</v>
      </c>
      <c r="E35">
        <v>144</v>
      </c>
      <c r="F35" t="s">
        <v>20</v>
      </c>
      <c r="G35" t="s">
        <v>22</v>
      </c>
      <c r="H35" t="s">
        <v>37</v>
      </c>
      <c r="I35" t="s">
        <v>229</v>
      </c>
      <c r="J35" t="s">
        <v>60</v>
      </c>
      <c r="K35" t="s">
        <v>40</v>
      </c>
      <c r="L35" t="s">
        <v>40</v>
      </c>
      <c r="M35" t="s">
        <v>26</v>
      </c>
      <c r="N35" t="s">
        <v>47</v>
      </c>
      <c r="O35">
        <v>0</v>
      </c>
      <c r="P35">
        <v>13</v>
      </c>
      <c r="Q35" t="s">
        <v>69</v>
      </c>
      <c r="R35">
        <v>1</v>
      </c>
    </row>
    <row r="36" spans="1:18" x14ac:dyDescent="0.3">
      <c r="A36" t="s">
        <v>100</v>
      </c>
      <c r="B36" s="1">
        <v>45345.310416666667</v>
      </c>
      <c r="C36" t="s">
        <v>30</v>
      </c>
      <c r="D36" t="s">
        <v>42</v>
      </c>
      <c r="E36">
        <v>1804</v>
      </c>
      <c r="F36" t="s">
        <v>20</v>
      </c>
      <c r="G36" t="s">
        <v>37</v>
      </c>
      <c r="H36" t="s">
        <v>21</v>
      </c>
      <c r="I36" t="s">
        <v>229</v>
      </c>
      <c r="J36" t="s">
        <v>55</v>
      </c>
      <c r="K36" t="s">
        <v>24</v>
      </c>
      <c r="L36" t="s">
        <v>25</v>
      </c>
      <c r="M36" t="s">
        <v>26</v>
      </c>
      <c r="N36" t="s">
        <v>27</v>
      </c>
      <c r="O36">
        <v>0</v>
      </c>
      <c r="P36">
        <v>7</v>
      </c>
      <c r="Q36" t="s">
        <v>87</v>
      </c>
      <c r="R36">
        <v>0</v>
      </c>
    </row>
    <row r="37" spans="1:18" x14ac:dyDescent="0.3">
      <c r="A37" t="s">
        <v>101</v>
      </c>
      <c r="B37" s="1">
        <v>45401.925000000003</v>
      </c>
      <c r="C37" t="s">
        <v>18</v>
      </c>
      <c r="D37" t="s">
        <v>42</v>
      </c>
      <c r="E37">
        <v>721</v>
      </c>
      <c r="F37" t="s">
        <v>20</v>
      </c>
      <c r="G37" t="s">
        <v>59</v>
      </c>
      <c r="H37" t="s">
        <v>22</v>
      </c>
      <c r="I37" t="s">
        <v>229</v>
      </c>
      <c r="J37" t="s">
        <v>66</v>
      </c>
      <c r="K37" t="s">
        <v>56</v>
      </c>
      <c r="L37" t="s">
        <v>33</v>
      </c>
      <c r="M37" t="s">
        <v>26</v>
      </c>
      <c r="N37" t="s">
        <v>51</v>
      </c>
      <c r="O37">
        <v>0</v>
      </c>
      <c r="P37">
        <v>22</v>
      </c>
      <c r="Q37" t="s">
        <v>87</v>
      </c>
      <c r="R37">
        <v>0</v>
      </c>
    </row>
    <row r="38" spans="1:18" x14ac:dyDescent="0.3">
      <c r="A38" t="s">
        <v>102</v>
      </c>
      <c r="B38" s="1">
        <v>45499.714583333334</v>
      </c>
      <c r="C38" t="s">
        <v>30</v>
      </c>
      <c r="D38" t="s">
        <v>46</v>
      </c>
      <c r="E38">
        <v>7987</v>
      </c>
      <c r="F38" t="s">
        <v>20</v>
      </c>
      <c r="G38" t="s">
        <v>22</v>
      </c>
      <c r="H38" t="s">
        <v>37</v>
      </c>
      <c r="I38" t="s">
        <v>229</v>
      </c>
      <c r="J38" t="s">
        <v>60</v>
      </c>
      <c r="K38" t="s">
        <v>50</v>
      </c>
      <c r="L38" t="s">
        <v>50</v>
      </c>
      <c r="M38" t="s">
        <v>26</v>
      </c>
      <c r="N38" t="s">
        <v>27</v>
      </c>
      <c r="O38">
        <v>0</v>
      </c>
      <c r="P38">
        <v>17</v>
      </c>
      <c r="Q38" t="s">
        <v>87</v>
      </c>
      <c r="R38">
        <v>0</v>
      </c>
    </row>
    <row r="39" spans="1:18" x14ac:dyDescent="0.3">
      <c r="A39" t="s">
        <v>103</v>
      </c>
      <c r="B39" s="1">
        <v>45520.893055555556</v>
      </c>
      <c r="C39" t="s">
        <v>71</v>
      </c>
      <c r="D39" t="s">
        <v>46</v>
      </c>
      <c r="E39">
        <v>5154</v>
      </c>
      <c r="F39" t="s">
        <v>20</v>
      </c>
      <c r="G39" t="s">
        <v>72</v>
      </c>
      <c r="H39" t="s">
        <v>37</v>
      </c>
      <c r="I39" t="s">
        <v>229</v>
      </c>
      <c r="J39" t="s">
        <v>32</v>
      </c>
      <c r="K39" t="s">
        <v>33</v>
      </c>
      <c r="L39" t="s">
        <v>25</v>
      </c>
      <c r="M39" t="s">
        <v>94</v>
      </c>
      <c r="N39" t="s">
        <v>43</v>
      </c>
      <c r="O39">
        <v>0</v>
      </c>
      <c r="P39">
        <v>21</v>
      </c>
      <c r="Q39" t="s">
        <v>87</v>
      </c>
      <c r="R39">
        <v>0</v>
      </c>
    </row>
    <row r="40" spans="1:18" x14ac:dyDescent="0.3">
      <c r="A40" t="s">
        <v>104</v>
      </c>
      <c r="B40" s="1">
        <v>45496.709722222222</v>
      </c>
      <c r="C40" t="s">
        <v>18</v>
      </c>
      <c r="D40" t="s">
        <v>19</v>
      </c>
      <c r="E40">
        <v>131</v>
      </c>
      <c r="F40" t="s">
        <v>20</v>
      </c>
      <c r="G40" t="s">
        <v>37</v>
      </c>
      <c r="H40" t="s">
        <v>22</v>
      </c>
      <c r="I40" t="s">
        <v>229</v>
      </c>
      <c r="J40" t="s">
        <v>105</v>
      </c>
      <c r="K40" t="s">
        <v>39</v>
      </c>
      <c r="L40" t="s">
        <v>25</v>
      </c>
      <c r="M40" t="s">
        <v>94</v>
      </c>
      <c r="N40" t="s">
        <v>43</v>
      </c>
      <c r="O40">
        <v>0</v>
      </c>
      <c r="P40">
        <v>17</v>
      </c>
      <c r="Q40" t="s">
        <v>28</v>
      </c>
      <c r="R40">
        <v>0</v>
      </c>
    </row>
    <row r="41" spans="1:18" x14ac:dyDescent="0.3">
      <c r="A41" t="s">
        <v>106</v>
      </c>
      <c r="B41" s="1">
        <v>45349.071527777778</v>
      </c>
      <c r="C41" t="s">
        <v>30</v>
      </c>
      <c r="D41" t="s">
        <v>79</v>
      </c>
      <c r="E41">
        <v>192</v>
      </c>
      <c r="F41" t="s">
        <v>20</v>
      </c>
      <c r="G41" t="s">
        <v>21</v>
      </c>
      <c r="H41" t="s">
        <v>21</v>
      </c>
      <c r="I41" t="s">
        <v>229</v>
      </c>
      <c r="J41" t="s">
        <v>38</v>
      </c>
      <c r="K41" t="s">
        <v>25</v>
      </c>
      <c r="L41" t="s">
        <v>25</v>
      </c>
      <c r="M41" t="s">
        <v>26</v>
      </c>
      <c r="N41" t="s">
        <v>43</v>
      </c>
      <c r="O41">
        <v>0</v>
      </c>
      <c r="P41">
        <v>1</v>
      </c>
      <c r="Q41" t="s">
        <v>28</v>
      </c>
      <c r="R41">
        <v>0</v>
      </c>
    </row>
    <row r="42" spans="1:18" x14ac:dyDescent="0.3">
      <c r="A42" t="s">
        <v>107</v>
      </c>
      <c r="B42" s="1">
        <v>45315.436111111114</v>
      </c>
      <c r="C42" t="s">
        <v>85</v>
      </c>
      <c r="D42" t="s">
        <v>49</v>
      </c>
      <c r="E42">
        <v>82</v>
      </c>
      <c r="F42" t="s">
        <v>20</v>
      </c>
      <c r="G42" t="s">
        <v>72</v>
      </c>
      <c r="H42" t="s">
        <v>22</v>
      </c>
      <c r="I42" t="s">
        <v>229</v>
      </c>
      <c r="J42" t="s">
        <v>66</v>
      </c>
      <c r="K42" t="s">
        <v>56</v>
      </c>
      <c r="L42" t="s">
        <v>25</v>
      </c>
      <c r="M42" t="s">
        <v>26</v>
      </c>
      <c r="N42" t="s">
        <v>43</v>
      </c>
      <c r="O42">
        <v>0</v>
      </c>
      <c r="P42">
        <v>10</v>
      </c>
      <c r="Q42" t="s">
        <v>73</v>
      </c>
      <c r="R42">
        <v>0</v>
      </c>
    </row>
    <row r="43" spans="1:18" x14ac:dyDescent="0.3">
      <c r="A43" t="s">
        <v>108</v>
      </c>
      <c r="B43" s="1">
        <v>45594.537499999999</v>
      </c>
      <c r="C43" t="s">
        <v>30</v>
      </c>
      <c r="D43" t="s">
        <v>46</v>
      </c>
      <c r="E43">
        <v>4309</v>
      </c>
      <c r="F43" t="s">
        <v>20</v>
      </c>
      <c r="G43" t="s">
        <v>72</v>
      </c>
      <c r="H43" t="s">
        <v>37</v>
      </c>
      <c r="I43" t="s">
        <v>229</v>
      </c>
      <c r="J43" t="s">
        <v>60</v>
      </c>
      <c r="K43" t="s">
        <v>62</v>
      </c>
      <c r="L43" t="s">
        <v>56</v>
      </c>
      <c r="M43" t="s">
        <v>26</v>
      </c>
      <c r="N43" t="s">
        <v>27</v>
      </c>
      <c r="O43">
        <v>0</v>
      </c>
      <c r="P43">
        <v>12</v>
      </c>
      <c r="Q43" t="s">
        <v>28</v>
      </c>
      <c r="R43">
        <v>0</v>
      </c>
    </row>
    <row r="44" spans="1:18" x14ac:dyDescent="0.3">
      <c r="A44" t="s">
        <v>109</v>
      </c>
      <c r="B44" s="1">
        <v>45309.575694444444</v>
      </c>
      <c r="C44" t="s">
        <v>18</v>
      </c>
      <c r="D44" t="s">
        <v>58</v>
      </c>
      <c r="E44">
        <v>2338</v>
      </c>
      <c r="F44" t="s">
        <v>20</v>
      </c>
      <c r="G44" t="s">
        <v>21</v>
      </c>
      <c r="H44" t="s">
        <v>72</v>
      </c>
      <c r="I44" t="s">
        <v>229</v>
      </c>
      <c r="J44" t="s">
        <v>66</v>
      </c>
      <c r="K44" t="s">
        <v>24</v>
      </c>
      <c r="L44" t="s">
        <v>25</v>
      </c>
      <c r="M44" t="s">
        <v>26</v>
      </c>
      <c r="N44" t="s">
        <v>43</v>
      </c>
      <c r="O44">
        <v>0</v>
      </c>
      <c r="P44">
        <v>13</v>
      </c>
      <c r="Q44" t="s">
        <v>35</v>
      </c>
      <c r="R44">
        <v>0</v>
      </c>
    </row>
    <row r="45" spans="1:18" x14ac:dyDescent="0.3">
      <c r="A45" t="s">
        <v>110</v>
      </c>
      <c r="B45" s="1">
        <v>45339.585416666669</v>
      </c>
      <c r="C45" t="s">
        <v>30</v>
      </c>
      <c r="D45" t="s">
        <v>49</v>
      </c>
      <c r="E45">
        <v>292</v>
      </c>
      <c r="F45" t="s">
        <v>20</v>
      </c>
      <c r="G45" t="s">
        <v>72</v>
      </c>
      <c r="H45" t="s">
        <v>21</v>
      </c>
      <c r="I45" t="s">
        <v>229</v>
      </c>
      <c r="J45" t="s">
        <v>82</v>
      </c>
      <c r="K45" t="s">
        <v>25</v>
      </c>
      <c r="L45" t="s">
        <v>25</v>
      </c>
      <c r="M45" t="s">
        <v>26</v>
      </c>
      <c r="N45" t="s">
        <v>27</v>
      </c>
      <c r="O45">
        <v>0</v>
      </c>
      <c r="P45">
        <v>14</v>
      </c>
      <c r="Q45" t="s">
        <v>69</v>
      </c>
      <c r="R45">
        <v>1</v>
      </c>
    </row>
    <row r="46" spans="1:18" x14ac:dyDescent="0.3">
      <c r="A46" t="s">
        <v>111</v>
      </c>
      <c r="B46" s="1">
        <v>45543.38958333333</v>
      </c>
      <c r="C46" t="s">
        <v>18</v>
      </c>
      <c r="D46" t="s">
        <v>31</v>
      </c>
      <c r="E46">
        <v>765</v>
      </c>
      <c r="F46" t="s">
        <v>20</v>
      </c>
      <c r="G46" t="s">
        <v>22</v>
      </c>
      <c r="H46" t="s">
        <v>37</v>
      </c>
      <c r="I46" t="s">
        <v>229</v>
      </c>
      <c r="J46" t="s">
        <v>60</v>
      </c>
      <c r="K46" t="s">
        <v>25</v>
      </c>
      <c r="L46" t="s">
        <v>39</v>
      </c>
      <c r="M46" t="s">
        <v>34</v>
      </c>
      <c r="N46" t="s">
        <v>47</v>
      </c>
      <c r="O46">
        <v>0</v>
      </c>
      <c r="P46">
        <v>9</v>
      </c>
      <c r="Q46" t="s">
        <v>44</v>
      </c>
      <c r="R46">
        <v>1</v>
      </c>
    </row>
    <row r="47" spans="1:18" x14ac:dyDescent="0.3">
      <c r="A47" t="s">
        <v>112</v>
      </c>
      <c r="B47" s="1">
        <v>45564.87777777778</v>
      </c>
      <c r="C47" t="s">
        <v>18</v>
      </c>
      <c r="D47" t="s">
        <v>68</v>
      </c>
      <c r="E47">
        <v>51</v>
      </c>
      <c r="F47" t="s">
        <v>20</v>
      </c>
      <c r="G47" t="s">
        <v>22</v>
      </c>
      <c r="H47" t="s">
        <v>37</v>
      </c>
      <c r="I47" t="s">
        <v>229</v>
      </c>
      <c r="J47" t="s">
        <v>32</v>
      </c>
      <c r="K47" t="s">
        <v>24</v>
      </c>
      <c r="L47" t="s">
        <v>50</v>
      </c>
      <c r="M47" t="s">
        <v>34</v>
      </c>
      <c r="N47" t="s">
        <v>27</v>
      </c>
      <c r="O47">
        <v>0</v>
      </c>
      <c r="P47">
        <v>21</v>
      </c>
      <c r="Q47" t="s">
        <v>44</v>
      </c>
      <c r="R47">
        <v>1</v>
      </c>
    </row>
    <row r="48" spans="1:18" x14ac:dyDescent="0.3">
      <c r="A48" t="s">
        <v>113</v>
      </c>
      <c r="B48" s="1">
        <v>45355.399305555555</v>
      </c>
      <c r="C48" t="s">
        <v>71</v>
      </c>
      <c r="D48" t="s">
        <v>49</v>
      </c>
      <c r="E48">
        <v>144</v>
      </c>
      <c r="F48" t="s">
        <v>20</v>
      </c>
      <c r="G48" t="s">
        <v>22</v>
      </c>
      <c r="H48" t="s">
        <v>22</v>
      </c>
      <c r="I48" t="s">
        <v>229</v>
      </c>
      <c r="J48" t="s">
        <v>23</v>
      </c>
      <c r="K48" t="s">
        <v>39</v>
      </c>
      <c r="L48" t="s">
        <v>24</v>
      </c>
      <c r="M48" t="s">
        <v>26</v>
      </c>
      <c r="N48" t="s">
        <v>47</v>
      </c>
      <c r="O48">
        <v>0</v>
      </c>
      <c r="P48">
        <v>9</v>
      </c>
      <c r="Q48" t="s">
        <v>52</v>
      </c>
      <c r="R48">
        <v>0</v>
      </c>
    </row>
    <row r="49" spans="1:18" x14ac:dyDescent="0.3">
      <c r="A49" t="s">
        <v>114</v>
      </c>
      <c r="B49" s="1">
        <v>45328.72152777778</v>
      </c>
      <c r="C49" t="s">
        <v>18</v>
      </c>
      <c r="D49" t="s">
        <v>54</v>
      </c>
      <c r="E49">
        <v>994</v>
      </c>
      <c r="F49" t="s">
        <v>20</v>
      </c>
      <c r="G49" t="s">
        <v>22</v>
      </c>
      <c r="H49" t="s">
        <v>37</v>
      </c>
      <c r="I49" t="s">
        <v>229</v>
      </c>
      <c r="J49" t="s">
        <v>32</v>
      </c>
      <c r="K49" t="s">
        <v>40</v>
      </c>
      <c r="L49" t="s">
        <v>25</v>
      </c>
      <c r="M49" t="s">
        <v>26</v>
      </c>
      <c r="N49" t="s">
        <v>43</v>
      </c>
      <c r="O49">
        <v>0</v>
      </c>
      <c r="P49">
        <v>17</v>
      </c>
      <c r="Q49" t="s">
        <v>28</v>
      </c>
      <c r="R49">
        <v>0</v>
      </c>
    </row>
    <row r="50" spans="1:18" x14ac:dyDescent="0.3">
      <c r="A50" t="s">
        <v>115</v>
      </c>
      <c r="B50" s="1">
        <v>45437.718055555553</v>
      </c>
      <c r="C50" t="s">
        <v>18</v>
      </c>
      <c r="D50" t="s">
        <v>46</v>
      </c>
      <c r="E50">
        <v>2393</v>
      </c>
      <c r="F50" t="s">
        <v>20</v>
      </c>
      <c r="G50" t="s">
        <v>21</v>
      </c>
      <c r="H50" t="s">
        <v>21</v>
      </c>
      <c r="I50" t="s">
        <v>229</v>
      </c>
      <c r="J50" t="s">
        <v>60</v>
      </c>
      <c r="K50" t="s">
        <v>33</v>
      </c>
      <c r="L50" t="s">
        <v>33</v>
      </c>
      <c r="M50" t="s">
        <v>26</v>
      </c>
      <c r="N50" t="s">
        <v>43</v>
      </c>
      <c r="O50">
        <v>0</v>
      </c>
      <c r="P50">
        <v>17</v>
      </c>
      <c r="Q50" t="s">
        <v>69</v>
      </c>
      <c r="R50">
        <v>1</v>
      </c>
    </row>
    <row r="51" spans="1:18" x14ac:dyDescent="0.3">
      <c r="A51" t="s">
        <v>116</v>
      </c>
      <c r="B51" s="1">
        <v>45351.782638888886</v>
      </c>
      <c r="C51" t="s">
        <v>18</v>
      </c>
      <c r="D51" t="s">
        <v>54</v>
      </c>
      <c r="E51">
        <v>864</v>
      </c>
      <c r="F51" t="s">
        <v>20</v>
      </c>
      <c r="G51" t="s">
        <v>37</v>
      </c>
      <c r="H51" t="s">
        <v>59</v>
      </c>
      <c r="I51" t="s">
        <v>229</v>
      </c>
      <c r="J51" t="s">
        <v>105</v>
      </c>
      <c r="K51" t="s">
        <v>39</v>
      </c>
      <c r="L51" t="s">
        <v>25</v>
      </c>
      <c r="M51" t="s">
        <v>26</v>
      </c>
      <c r="N51" t="s">
        <v>27</v>
      </c>
      <c r="O51">
        <v>0</v>
      </c>
      <c r="P51">
        <v>18</v>
      </c>
      <c r="Q51" t="s">
        <v>35</v>
      </c>
      <c r="R51">
        <v>0</v>
      </c>
    </row>
    <row r="52" spans="1:18" x14ac:dyDescent="0.3">
      <c r="A52" t="s">
        <v>117</v>
      </c>
      <c r="B52" s="1">
        <v>45631.779166666667</v>
      </c>
      <c r="C52" t="s">
        <v>18</v>
      </c>
      <c r="D52" t="s">
        <v>68</v>
      </c>
      <c r="E52">
        <v>36</v>
      </c>
      <c r="F52" t="s">
        <v>20</v>
      </c>
      <c r="G52" t="s">
        <v>37</v>
      </c>
      <c r="H52" t="s">
        <v>37</v>
      </c>
      <c r="I52" t="s">
        <v>229</v>
      </c>
      <c r="J52" t="s">
        <v>66</v>
      </c>
      <c r="K52" t="s">
        <v>33</v>
      </c>
      <c r="L52" t="s">
        <v>50</v>
      </c>
      <c r="M52" t="s">
        <v>26</v>
      </c>
      <c r="N52" t="s">
        <v>47</v>
      </c>
      <c r="O52">
        <v>0</v>
      </c>
      <c r="P52">
        <v>18</v>
      </c>
      <c r="Q52" t="s">
        <v>35</v>
      </c>
      <c r="R52">
        <v>0</v>
      </c>
    </row>
    <row r="53" spans="1:18" x14ac:dyDescent="0.3">
      <c r="A53" t="s">
        <v>118</v>
      </c>
      <c r="B53" s="1">
        <v>45337.452777777777</v>
      </c>
      <c r="C53" t="s">
        <v>30</v>
      </c>
      <c r="D53" t="s">
        <v>58</v>
      </c>
      <c r="E53">
        <v>582</v>
      </c>
      <c r="F53" t="s">
        <v>20</v>
      </c>
      <c r="G53" t="s">
        <v>22</v>
      </c>
      <c r="H53" t="s">
        <v>22</v>
      </c>
      <c r="I53" t="s">
        <v>229</v>
      </c>
      <c r="J53" t="s">
        <v>23</v>
      </c>
      <c r="K53" t="s">
        <v>40</v>
      </c>
      <c r="L53" t="s">
        <v>50</v>
      </c>
      <c r="M53" t="s">
        <v>26</v>
      </c>
      <c r="N53" t="s">
        <v>27</v>
      </c>
      <c r="O53">
        <v>0</v>
      </c>
      <c r="P53">
        <v>10</v>
      </c>
      <c r="Q53" t="s">
        <v>35</v>
      </c>
      <c r="R53">
        <v>0</v>
      </c>
    </row>
    <row r="54" spans="1:18" x14ac:dyDescent="0.3">
      <c r="A54" t="s">
        <v>119</v>
      </c>
      <c r="B54" s="1">
        <v>45535.657638888886</v>
      </c>
      <c r="C54" t="s">
        <v>18</v>
      </c>
      <c r="D54" t="s">
        <v>54</v>
      </c>
      <c r="E54">
        <v>364</v>
      </c>
      <c r="F54" t="s">
        <v>20</v>
      </c>
      <c r="G54" t="s">
        <v>37</v>
      </c>
      <c r="H54" t="s">
        <v>21</v>
      </c>
      <c r="I54" t="s">
        <v>229</v>
      </c>
      <c r="J54" t="s">
        <v>66</v>
      </c>
      <c r="K54" t="s">
        <v>25</v>
      </c>
      <c r="L54" t="s">
        <v>56</v>
      </c>
      <c r="M54" t="s">
        <v>34</v>
      </c>
      <c r="N54" t="s">
        <v>27</v>
      </c>
      <c r="O54">
        <v>0</v>
      </c>
      <c r="P54">
        <v>15</v>
      </c>
      <c r="Q54" t="s">
        <v>69</v>
      </c>
      <c r="R54">
        <v>1</v>
      </c>
    </row>
    <row r="55" spans="1:18" x14ac:dyDescent="0.3">
      <c r="A55" t="s">
        <v>120</v>
      </c>
      <c r="B55" s="1">
        <v>45302.767361111109</v>
      </c>
      <c r="C55" t="s">
        <v>18</v>
      </c>
      <c r="D55" t="s">
        <v>54</v>
      </c>
      <c r="E55">
        <v>203</v>
      </c>
      <c r="F55" t="s">
        <v>20</v>
      </c>
      <c r="G55" t="s">
        <v>37</v>
      </c>
      <c r="H55" t="s">
        <v>22</v>
      </c>
      <c r="I55" t="s">
        <v>229</v>
      </c>
      <c r="J55" t="s">
        <v>23</v>
      </c>
      <c r="K55" t="s">
        <v>25</v>
      </c>
      <c r="L55" t="s">
        <v>50</v>
      </c>
      <c r="M55" t="s">
        <v>26</v>
      </c>
      <c r="N55" t="s">
        <v>27</v>
      </c>
      <c r="O55">
        <v>0</v>
      </c>
      <c r="P55">
        <v>18</v>
      </c>
      <c r="Q55" t="s">
        <v>35</v>
      </c>
      <c r="R55">
        <v>0</v>
      </c>
    </row>
    <row r="56" spans="1:18" x14ac:dyDescent="0.3">
      <c r="A56" t="s">
        <v>121</v>
      </c>
      <c r="B56" s="1">
        <v>45411.770138888889</v>
      </c>
      <c r="C56" t="s">
        <v>30</v>
      </c>
      <c r="D56" t="s">
        <v>46</v>
      </c>
      <c r="E56">
        <v>4987</v>
      </c>
      <c r="F56" t="s">
        <v>20</v>
      </c>
      <c r="G56" t="s">
        <v>72</v>
      </c>
      <c r="H56" t="s">
        <v>21</v>
      </c>
      <c r="I56" t="s">
        <v>229</v>
      </c>
      <c r="J56" t="s">
        <v>38</v>
      </c>
      <c r="K56" t="s">
        <v>40</v>
      </c>
      <c r="L56" t="s">
        <v>39</v>
      </c>
      <c r="M56" t="s">
        <v>34</v>
      </c>
      <c r="N56" t="s">
        <v>27</v>
      </c>
      <c r="O56">
        <v>0</v>
      </c>
      <c r="P56">
        <v>18</v>
      </c>
      <c r="Q56" t="s">
        <v>52</v>
      </c>
      <c r="R56">
        <v>0</v>
      </c>
    </row>
    <row r="57" spans="1:18" x14ac:dyDescent="0.3">
      <c r="A57" t="s">
        <v>122</v>
      </c>
      <c r="B57" s="1">
        <v>45548.445138888892</v>
      </c>
      <c r="C57" t="s">
        <v>18</v>
      </c>
      <c r="D57" t="s">
        <v>19</v>
      </c>
      <c r="E57">
        <v>213</v>
      </c>
      <c r="F57" t="s">
        <v>20</v>
      </c>
      <c r="G57" t="s">
        <v>21</v>
      </c>
      <c r="H57" t="s">
        <v>22</v>
      </c>
      <c r="I57" t="s">
        <v>229</v>
      </c>
      <c r="J57" t="s">
        <v>105</v>
      </c>
      <c r="K57" t="s">
        <v>56</v>
      </c>
      <c r="L57" t="s">
        <v>39</v>
      </c>
      <c r="M57" t="s">
        <v>26</v>
      </c>
      <c r="N57" t="s">
        <v>27</v>
      </c>
      <c r="O57">
        <v>0</v>
      </c>
      <c r="P57">
        <v>10</v>
      </c>
      <c r="Q57" t="s">
        <v>87</v>
      </c>
      <c r="R57">
        <v>0</v>
      </c>
    </row>
    <row r="58" spans="1:18" x14ac:dyDescent="0.3">
      <c r="A58" t="s">
        <v>123</v>
      </c>
      <c r="B58" s="1">
        <v>45572.238194444442</v>
      </c>
      <c r="C58" t="s">
        <v>30</v>
      </c>
      <c r="D58" t="s">
        <v>79</v>
      </c>
      <c r="E58">
        <v>1315</v>
      </c>
      <c r="F58" t="s">
        <v>20</v>
      </c>
      <c r="G58" t="s">
        <v>21</v>
      </c>
      <c r="H58" t="s">
        <v>22</v>
      </c>
      <c r="I58" t="s">
        <v>229</v>
      </c>
      <c r="J58" t="s">
        <v>105</v>
      </c>
      <c r="K58" t="s">
        <v>56</v>
      </c>
      <c r="L58" t="s">
        <v>40</v>
      </c>
      <c r="M58" t="s">
        <v>26</v>
      </c>
      <c r="N58" t="s">
        <v>27</v>
      </c>
      <c r="O58">
        <v>0</v>
      </c>
      <c r="P58">
        <v>5</v>
      </c>
      <c r="Q58" t="s">
        <v>52</v>
      </c>
      <c r="R58">
        <v>0</v>
      </c>
    </row>
    <row r="59" spans="1:18" x14ac:dyDescent="0.3">
      <c r="A59" t="s">
        <v>124</v>
      </c>
      <c r="B59" s="1">
        <v>45307.914583333331</v>
      </c>
      <c r="C59" t="s">
        <v>18</v>
      </c>
      <c r="D59" t="s">
        <v>31</v>
      </c>
      <c r="E59">
        <v>2685</v>
      </c>
      <c r="F59" t="s">
        <v>20</v>
      </c>
      <c r="G59" t="s">
        <v>37</v>
      </c>
      <c r="H59" t="s">
        <v>21</v>
      </c>
      <c r="I59" t="s">
        <v>229</v>
      </c>
      <c r="J59" t="s">
        <v>66</v>
      </c>
      <c r="K59" t="s">
        <v>25</v>
      </c>
      <c r="L59" t="s">
        <v>62</v>
      </c>
      <c r="M59" t="s">
        <v>26</v>
      </c>
      <c r="N59" t="s">
        <v>27</v>
      </c>
      <c r="O59">
        <v>0</v>
      </c>
      <c r="P59">
        <v>21</v>
      </c>
      <c r="Q59" t="s">
        <v>28</v>
      </c>
      <c r="R59">
        <v>0</v>
      </c>
    </row>
    <row r="60" spans="1:18" x14ac:dyDescent="0.3">
      <c r="A60" t="s">
        <v>125</v>
      </c>
      <c r="B60" s="1">
        <v>45617.662499999999</v>
      </c>
      <c r="C60" t="s">
        <v>30</v>
      </c>
      <c r="D60" t="s">
        <v>19</v>
      </c>
      <c r="E60">
        <v>220</v>
      </c>
      <c r="F60" t="s">
        <v>20</v>
      </c>
      <c r="G60" t="s">
        <v>22</v>
      </c>
      <c r="H60" t="s">
        <v>22</v>
      </c>
      <c r="I60" t="s">
        <v>229</v>
      </c>
      <c r="J60" t="s">
        <v>38</v>
      </c>
      <c r="K60" t="s">
        <v>40</v>
      </c>
      <c r="L60" t="s">
        <v>33</v>
      </c>
      <c r="M60" t="s">
        <v>26</v>
      </c>
      <c r="N60" t="s">
        <v>27</v>
      </c>
      <c r="O60">
        <v>0</v>
      </c>
      <c r="P60">
        <v>15</v>
      </c>
      <c r="Q60" t="s">
        <v>35</v>
      </c>
      <c r="R60">
        <v>0</v>
      </c>
    </row>
    <row r="61" spans="1:18" x14ac:dyDescent="0.3">
      <c r="A61" t="s">
        <v>126</v>
      </c>
      <c r="B61" s="1">
        <v>45579.825694444444</v>
      </c>
      <c r="C61" t="s">
        <v>30</v>
      </c>
      <c r="D61" t="s">
        <v>42</v>
      </c>
      <c r="E61">
        <v>1831</v>
      </c>
      <c r="F61" t="s">
        <v>20</v>
      </c>
      <c r="G61" t="s">
        <v>37</v>
      </c>
      <c r="H61" t="s">
        <v>21</v>
      </c>
      <c r="I61" t="s">
        <v>229</v>
      </c>
      <c r="J61" t="s">
        <v>23</v>
      </c>
      <c r="K61" t="s">
        <v>40</v>
      </c>
      <c r="L61" t="s">
        <v>62</v>
      </c>
      <c r="M61" t="s">
        <v>34</v>
      </c>
      <c r="N61" t="s">
        <v>43</v>
      </c>
      <c r="O61">
        <v>0</v>
      </c>
      <c r="P61">
        <v>19</v>
      </c>
      <c r="Q61" t="s">
        <v>52</v>
      </c>
      <c r="R61">
        <v>0</v>
      </c>
    </row>
    <row r="62" spans="1:18" x14ac:dyDescent="0.3">
      <c r="A62" t="s">
        <v>127</v>
      </c>
      <c r="B62" s="1">
        <v>45546.847222222219</v>
      </c>
      <c r="C62" t="s">
        <v>18</v>
      </c>
      <c r="D62" t="s">
        <v>46</v>
      </c>
      <c r="E62">
        <v>159</v>
      </c>
      <c r="F62" t="s">
        <v>128</v>
      </c>
      <c r="G62" t="s">
        <v>72</v>
      </c>
      <c r="H62" t="s">
        <v>37</v>
      </c>
      <c r="I62" t="s">
        <v>229</v>
      </c>
      <c r="J62" t="s">
        <v>82</v>
      </c>
      <c r="K62" t="s">
        <v>25</v>
      </c>
      <c r="L62" t="s">
        <v>40</v>
      </c>
      <c r="M62" t="s">
        <v>26</v>
      </c>
      <c r="N62" t="s">
        <v>43</v>
      </c>
      <c r="O62">
        <v>0</v>
      </c>
      <c r="P62">
        <v>20</v>
      </c>
      <c r="Q62" t="s">
        <v>73</v>
      </c>
      <c r="R62">
        <v>0</v>
      </c>
    </row>
    <row r="63" spans="1:18" x14ac:dyDescent="0.3">
      <c r="A63" t="s">
        <v>129</v>
      </c>
      <c r="B63" s="1">
        <v>45529.643055555556</v>
      </c>
      <c r="C63" t="s">
        <v>18</v>
      </c>
      <c r="D63" t="s">
        <v>19</v>
      </c>
      <c r="E63">
        <v>475</v>
      </c>
      <c r="F63" t="s">
        <v>20</v>
      </c>
      <c r="G63" t="s">
        <v>22</v>
      </c>
      <c r="H63" t="s">
        <v>22</v>
      </c>
      <c r="I63" t="s">
        <v>229</v>
      </c>
      <c r="J63" t="s">
        <v>38</v>
      </c>
      <c r="K63" t="s">
        <v>33</v>
      </c>
      <c r="L63" t="s">
        <v>56</v>
      </c>
      <c r="M63" t="s">
        <v>26</v>
      </c>
      <c r="N63" t="s">
        <v>27</v>
      </c>
      <c r="O63">
        <v>0</v>
      </c>
      <c r="P63">
        <v>15</v>
      </c>
      <c r="Q63" t="s">
        <v>44</v>
      </c>
      <c r="R63">
        <v>1</v>
      </c>
    </row>
    <row r="64" spans="1:18" x14ac:dyDescent="0.3">
      <c r="A64" t="s">
        <v>130</v>
      </c>
      <c r="B64" s="1">
        <v>45366.729861111111</v>
      </c>
      <c r="C64" t="s">
        <v>30</v>
      </c>
      <c r="D64" t="s">
        <v>49</v>
      </c>
      <c r="E64">
        <v>351</v>
      </c>
      <c r="F64" t="s">
        <v>20</v>
      </c>
      <c r="G64" t="s">
        <v>21</v>
      </c>
      <c r="H64" t="s">
        <v>37</v>
      </c>
      <c r="I64" t="s">
        <v>229</v>
      </c>
      <c r="J64" t="s">
        <v>32</v>
      </c>
      <c r="K64" t="s">
        <v>39</v>
      </c>
      <c r="L64" t="s">
        <v>33</v>
      </c>
      <c r="M64" t="s">
        <v>26</v>
      </c>
      <c r="N64" t="s">
        <v>43</v>
      </c>
      <c r="O64">
        <v>0</v>
      </c>
      <c r="P64">
        <v>17</v>
      </c>
      <c r="Q64" t="s">
        <v>87</v>
      </c>
      <c r="R64">
        <v>0</v>
      </c>
    </row>
    <row r="65" spans="1:18" x14ac:dyDescent="0.3">
      <c r="A65" t="s">
        <v>131</v>
      </c>
      <c r="B65" s="1">
        <v>45303.356944444444</v>
      </c>
      <c r="C65" t="s">
        <v>18</v>
      </c>
      <c r="D65" t="s">
        <v>54</v>
      </c>
      <c r="E65">
        <v>726</v>
      </c>
      <c r="F65" t="s">
        <v>20</v>
      </c>
      <c r="G65" t="s">
        <v>21</v>
      </c>
      <c r="H65" t="s">
        <v>22</v>
      </c>
      <c r="I65" t="s">
        <v>229</v>
      </c>
      <c r="J65" t="s">
        <v>32</v>
      </c>
      <c r="K65" t="s">
        <v>25</v>
      </c>
      <c r="L65" t="s">
        <v>40</v>
      </c>
      <c r="M65" t="s">
        <v>26</v>
      </c>
      <c r="N65" t="s">
        <v>47</v>
      </c>
      <c r="O65">
        <v>0</v>
      </c>
      <c r="P65">
        <v>8</v>
      </c>
      <c r="Q65" t="s">
        <v>87</v>
      </c>
      <c r="R65">
        <v>0</v>
      </c>
    </row>
    <row r="66" spans="1:18" x14ac:dyDescent="0.3">
      <c r="A66" t="s">
        <v>132</v>
      </c>
      <c r="B66" s="1">
        <v>45411.725694444445</v>
      </c>
      <c r="C66" t="s">
        <v>18</v>
      </c>
      <c r="D66" t="s">
        <v>49</v>
      </c>
      <c r="E66">
        <v>386</v>
      </c>
      <c r="F66" t="s">
        <v>20</v>
      </c>
      <c r="G66" t="s">
        <v>21</v>
      </c>
      <c r="H66" t="s">
        <v>22</v>
      </c>
      <c r="I66" t="s">
        <v>229</v>
      </c>
      <c r="J66" t="s">
        <v>32</v>
      </c>
      <c r="K66" t="s">
        <v>25</v>
      </c>
      <c r="L66" t="s">
        <v>39</v>
      </c>
      <c r="M66" t="s">
        <v>26</v>
      </c>
      <c r="N66" t="s">
        <v>27</v>
      </c>
      <c r="O66">
        <v>0</v>
      </c>
      <c r="P66">
        <v>17</v>
      </c>
      <c r="Q66" t="s">
        <v>52</v>
      </c>
      <c r="R66">
        <v>0</v>
      </c>
    </row>
    <row r="67" spans="1:18" x14ac:dyDescent="0.3">
      <c r="A67" t="s">
        <v>133</v>
      </c>
      <c r="B67" s="1">
        <v>45411.712500000001</v>
      </c>
      <c r="C67" t="s">
        <v>30</v>
      </c>
      <c r="D67" t="s">
        <v>49</v>
      </c>
      <c r="E67">
        <v>55</v>
      </c>
      <c r="F67" t="s">
        <v>20</v>
      </c>
      <c r="G67" t="s">
        <v>21</v>
      </c>
      <c r="H67" t="s">
        <v>22</v>
      </c>
      <c r="I67" t="s">
        <v>229</v>
      </c>
      <c r="J67" t="s">
        <v>76</v>
      </c>
      <c r="K67" t="s">
        <v>33</v>
      </c>
      <c r="L67" t="s">
        <v>33</v>
      </c>
      <c r="M67" t="s">
        <v>34</v>
      </c>
      <c r="N67" t="s">
        <v>27</v>
      </c>
      <c r="O67">
        <v>0</v>
      </c>
      <c r="P67">
        <v>17</v>
      </c>
      <c r="Q67" t="s">
        <v>52</v>
      </c>
      <c r="R67">
        <v>0</v>
      </c>
    </row>
    <row r="68" spans="1:18" x14ac:dyDescent="0.3">
      <c r="A68" t="s">
        <v>134</v>
      </c>
      <c r="B68" s="1">
        <v>45487.231249999997</v>
      </c>
      <c r="C68" t="s">
        <v>30</v>
      </c>
      <c r="D68" t="s">
        <v>54</v>
      </c>
      <c r="E68">
        <v>394</v>
      </c>
      <c r="F68" t="s">
        <v>20</v>
      </c>
      <c r="G68" t="s">
        <v>72</v>
      </c>
      <c r="H68" t="s">
        <v>59</v>
      </c>
      <c r="I68" t="s">
        <v>229</v>
      </c>
      <c r="J68" t="s">
        <v>32</v>
      </c>
      <c r="K68" t="s">
        <v>25</v>
      </c>
      <c r="L68" t="s">
        <v>33</v>
      </c>
      <c r="M68" t="s">
        <v>26</v>
      </c>
      <c r="N68" t="s">
        <v>27</v>
      </c>
      <c r="O68">
        <v>0</v>
      </c>
      <c r="P68">
        <v>5</v>
      </c>
      <c r="Q68" t="s">
        <v>44</v>
      </c>
      <c r="R68">
        <v>1</v>
      </c>
    </row>
    <row r="69" spans="1:18" x14ac:dyDescent="0.3">
      <c r="A69" t="s">
        <v>135</v>
      </c>
      <c r="B69" s="1">
        <v>45518.770833333336</v>
      </c>
      <c r="C69" t="s">
        <v>30</v>
      </c>
      <c r="D69" t="s">
        <v>46</v>
      </c>
      <c r="E69">
        <v>221</v>
      </c>
      <c r="F69" t="s">
        <v>128</v>
      </c>
      <c r="G69" t="s">
        <v>59</v>
      </c>
      <c r="H69" t="s">
        <v>21</v>
      </c>
      <c r="I69" t="s">
        <v>229</v>
      </c>
      <c r="J69" t="s">
        <v>23</v>
      </c>
      <c r="K69" t="s">
        <v>56</v>
      </c>
      <c r="L69" t="s">
        <v>50</v>
      </c>
      <c r="M69" t="s">
        <v>34</v>
      </c>
      <c r="N69" t="s">
        <v>43</v>
      </c>
      <c r="O69">
        <v>0</v>
      </c>
      <c r="P69">
        <v>18</v>
      </c>
      <c r="Q69" t="s">
        <v>73</v>
      </c>
      <c r="R69">
        <v>0</v>
      </c>
    </row>
    <row r="70" spans="1:18" x14ac:dyDescent="0.3">
      <c r="A70" t="s">
        <v>136</v>
      </c>
      <c r="B70" s="1">
        <v>45602.527083333334</v>
      </c>
      <c r="C70" t="s">
        <v>71</v>
      </c>
      <c r="D70" t="s">
        <v>49</v>
      </c>
      <c r="E70">
        <v>131</v>
      </c>
      <c r="F70" t="s">
        <v>20</v>
      </c>
      <c r="G70" t="s">
        <v>21</v>
      </c>
      <c r="H70" t="s">
        <v>22</v>
      </c>
      <c r="I70" t="s">
        <v>229</v>
      </c>
      <c r="J70" t="s">
        <v>55</v>
      </c>
      <c r="K70" t="s">
        <v>24</v>
      </c>
      <c r="L70" t="s">
        <v>25</v>
      </c>
      <c r="M70" t="s">
        <v>26</v>
      </c>
      <c r="N70" t="s">
        <v>27</v>
      </c>
      <c r="O70">
        <v>0</v>
      </c>
      <c r="P70">
        <v>12</v>
      </c>
      <c r="Q70" t="s">
        <v>73</v>
      </c>
      <c r="R70">
        <v>0</v>
      </c>
    </row>
    <row r="71" spans="1:18" x14ac:dyDescent="0.3">
      <c r="A71" t="s">
        <v>137</v>
      </c>
      <c r="B71" s="1">
        <v>45390.520138888889</v>
      </c>
      <c r="C71" t="s">
        <v>30</v>
      </c>
      <c r="D71" t="s">
        <v>42</v>
      </c>
      <c r="E71">
        <v>257</v>
      </c>
      <c r="F71" t="s">
        <v>20</v>
      </c>
      <c r="G71" t="s">
        <v>72</v>
      </c>
      <c r="H71" t="s">
        <v>21</v>
      </c>
      <c r="I71" t="s">
        <v>229</v>
      </c>
      <c r="J71" t="s">
        <v>32</v>
      </c>
      <c r="K71" t="s">
        <v>40</v>
      </c>
      <c r="L71" t="s">
        <v>24</v>
      </c>
      <c r="M71" t="s">
        <v>26</v>
      </c>
      <c r="N71" t="s">
        <v>43</v>
      </c>
      <c r="O71">
        <v>0</v>
      </c>
      <c r="P71">
        <v>12</v>
      </c>
      <c r="Q71" t="s">
        <v>52</v>
      </c>
      <c r="R71">
        <v>0</v>
      </c>
    </row>
    <row r="72" spans="1:18" x14ac:dyDescent="0.3">
      <c r="A72" t="s">
        <v>138</v>
      </c>
      <c r="B72" s="1">
        <v>45640.509722222225</v>
      </c>
      <c r="C72" t="s">
        <v>71</v>
      </c>
      <c r="D72" t="s">
        <v>46</v>
      </c>
      <c r="E72">
        <v>183</v>
      </c>
      <c r="F72" t="s">
        <v>20</v>
      </c>
      <c r="G72" t="s">
        <v>21</v>
      </c>
      <c r="H72" t="s">
        <v>21</v>
      </c>
      <c r="I72" t="s">
        <v>229</v>
      </c>
      <c r="J72" t="s">
        <v>66</v>
      </c>
      <c r="K72" t="s">
        <v>40</v>
      </c>
      <c r="L72" t="s">
        <v>39</v>
      </c>
      <c r="M72" t="s">
        <v>34</v>
      </c>
      <c r="N72" t="s">
        <v>27</v>
      </c>
      <c r="O72">
        <v>0</v>
      </c>
      <c r="P72">
        <v>12</v>
      </c>
      <c r="Q72" t="s">
        <v>69</v>
      </c>
      <c r="R72">
        <v>1</v>
      </c>
    </row>
    <row r="73" spans="1:18" x14ac:dyDescent="0.3">
      <c r="A73" t="s">
        <v>139</v>
      </c>
      <c r="B73" s="1">
        <v>45318.363194444442</v>
      </c>
      <c r="C73" t="s">
        <v>18</v>
      </c>
      <c r="D73" t="s">
        <v>79</v>
      </c>
      <c r="E73">
        <v>1376</v>
      </c>
      <c r="F73" t="s">
        <v>20</v>
      </c>
      <c r="G73" t="s">
        <v>37</v>
      </c>
      <c r="H73" t="s">
        <v>37</v>
      </c>
      <c r="I73" t="s">
        <v>229</v>
      </c>
      <c r="J73" t="s">
        <v>66</v>
      </c>
      <c r="K73" t="s">
        <v>50</v>
      </c>
      <c r="L73" t="s">
        <v>62</v>
      </c>
      <c r="M73" t="s">
        <v>26</v>
      </c>
      <c r="N73" t="s">
        <v>27</v>
      </c>
      <c r="O73">
        <v>0</v>
      </c>
      <c r="P73">
        <v>8</v>
      </c>
      <c r="Q73" t="s">
        <v>69</v>
      </c>
      <c r="R73">
        <v>1</v>
      </c>
    </row>
    <row r="74" spans="1:18" x14ac:dyDescent="0.3">
      <c r="A74" t="s">
        <v>140</v>
      </c>
      <c r="B74" s="1">
        <v>45361.675000000003</v>
      </c>
      <c r="C74" t="s">
        <v>18</v>
      </c>
      <c r="D74" t="s">
        <v>54</v>
      </c>
      <c r="E74">
        <v>760</v>
      </c>
      <c r="F74" t="s">
        <v>20</v>
      </c>
      <c r="G74" t="s">
        <v>37</v>
      </c>
      <c r="H74" t="s">
        <v>37</v>
      </c>
      <c r="I74" t="s">
        <v>229</v>
      </c>
      <c r="J74" t="s">
        <v>60</v>
      </c>
      <c r="K74" t="s">
        <v>25</v>
      </c>
      <c r="L74" t="s">
        <v>25</v>
      </c>
      <c r="M74" t="s">
        <v>26</v>
      </c>
      <c r="N74" t="s">
        <v>27</v>
      </c>
      <c r="O74">
        <v>0</v>
      </c>
      <c r="P74">
        <v>16</v>
      </c>
      <c r="Q74" t="s">
        <v>44</v>
      </c>
      <c r="R74">
        <v>1</v>
      </c>
    </row>
    <row r="75" spans="1:18" x14ac:dyDescent="0.3">
      <c r="A75" t="s">
        <v>141</v>
      </c>
      <c r="B75" s="1">
        <v>45630.768750000003</v>
      </c>
      <c r="C75" t="s">
        <v>71</v>
      </c>
      <c r="D75" t="s">
        <v>58</v>
      </c>
      <c r="E75">
        <v>2060</v>
      </c>
      <c r="F75" t="s">
        <v>20</v>
      </c>
      <c r="G75" t="s">
        <v>37</v>
      </c>
      <c r="H75" t="s">
        <v>59</v>
      </c>
      <c r="I75" t="s">
        <v>229</v>
      </c>
      <c r="J75" t="s">
        <v>38</v>
      </c>
      <c r="K75" t="s">
        <v>24</v>
      </c>
      <c r="L75" t="s">
        <v>33</v>
      </c>
      <c r="M75" t="s">
        <v>34</v>
      </c>
      <c r="N75" t="s">
        <v>27</v>
      </c>
      <c r="O75">
        <v>0</v>
      </c>
      <c r="P75">
        <v>18</v>
      </c>
      <c r="Q75" t="s">
        <v>73</v>
      </c>
      <c r="R75">
        <v>0</v>
      </c>
    </row>
    <row r="76" spans="1:18" x14ac:dyDescent="0.3">
      <c r="A76" t="s">
        <v>142</v>
      </c>
      <c r="B76" s="1">
        <v>45533.901388888888</v>
      </c>
      <c r="C76" t="s">
        <v>18</v>
      </c>
      <c r="D76" t="s">
        <v>49</v>
      </c>
      <c r="E76">
        <v>929</v>
      </c>
      <c r="F76" t="s">
        <v>20</v>
      </c>
      <c r="G76" t="s">
        <v>21</v>
      </c>
      <c r="H76" t="s">
        <v>21</v>
      </c>
      <c r="I76" t="s">
        <v>229</v>
      </c>
      <c r="J76" t="s">
        <v>105</v>
      </c>
      <c r="K76" t="s">
        <v>25</v>
      </c>
      <c r="L76" t="s">
        <v>39</v>
      </c>
      <c r="M76" t="s">
        <v>34</v>
      </c>
      <c r="N76" t="s">
        <v>27</v>
      </c>
      <c r="O76">
        <v>0</v>
      </c>
      <c r="P76">
        <v>21</v>
      </c>
      <c r="Q76" t="s">
        <v>35</v>
      </c>
      <c r="R76">
        <v>0</v>
      </c>
    </row>
    <row r="77" spans="1:18" x14ac:dyDescent="0.3">
      <c r="A77" t="s">
        <v>143</v>
      </c>
      <c r="B77" s="1">
        <v>45431.79791666667</v>
      </c>
      <c r="C77" t="s">
        <v>18</v>
      </c>
      <c r="D77" t="s">
        <v>68</v>
      </c>
      <c r="E77">
        <v>89</v>
      </c>
      <c r="F77" t="s">
        <v>20</v>
      </c>
      <c r="G77" t="s">
        <v>37</v>
      </c>
      <c r="H77" t="s">
        <v>37</v>
      </c>
      <c r="I77" t="s">
        <v>229</v>
      </c>
      <c r="J77" t="s">
        <v>38</v>
      </c>
      <c r="K77" t="s">
        <v>40</v>
      </c>
      <c r="L77" t="s">
        <v>62</v>
      </c>
      <c r="M77" t="s">
        <v>26</v>
      </c>
      <c r="N77" t="s">
        <v>43</v>
      </c>
      <c r="O77">
        <v>0</v>
      </c>
      <c r="P77">
        <v>19</v>
      </c>
      <c r="Q77" t="s">
        <v>44</v>
      </c>
      <c r="R77">
        <v>1</v>
      </c>
    </row>
    <row r="78" spans="1:18" x14ac:dyDescent="0.3">
      <c r="A78" t="s">
        <v>144</v>
      </c>
      <c r="B78" s="1">
        <v>45642.599305555559</v>
      </c>
      <c r="C78" t="s">
        <v>71</v>
      </c>
      <c r="D78" t="s">
        <v>58</v>
      </c>
      <c r="E78">
        <v>417</v>
      </c>
      <c r="F78" t="s">
        <v>20</v>
      </c>
      <c r="G78" t="s">
        <v>37</v>
      </c>
      <c r="H78" t="s">
        <v>37</v>
      </c>
      <c r="I78" t="s">
        <v>229</v>
      </c>
      <c r="J78" t="s">
        <v>55</v>
      </c>
      <c r="K78" t="s">
        <v>56</v>
      </c>
      <c r="L78" t="s">
        <v>25</v>
      </c>
      <c r="M78" t="s">
        <v>26</v>
      </c>
      <c r="N78" t="s">
        <v>43</v>
      </c>
      <c r="O78">
        <v>0</v>
      </c>
      <c r="P78">
        <v>14</v>
      </c>
      <c r="Q78" t="s">
        <v>52</v>
      </c>
      <c r="R78">
        <v>0</v>
      </c>
    </row>
    <row r="79" spans="1:18" x14ac:dyDescent="0.3">
      <c r="A79" t="s">
        <v>145</v>
      </c>
      <c r="B79" s="1">
        <v>45539.856944444444</v>
      </c>
      <c r="C79" t="s">
        <v>18</v>
      </c>
      <c r="D79" t="s">
        <v>58</v>
      </c>
      <c r="E79">
        <v>1415</v>
      </c>
      <c r="F79" t="s">
        <v>20</v>
      </c>
      <c r="G79" t="s">
        <v>37</v>
      </c>
      <c r="H79" t="s">
        <v>37</v>
      </c>
      <c r="I79" t="s">
        <v>229</v>
      </c>
      <c r="J79" t="s">
        <v>82</v>
      </c>
      <c r="K79" t="s">
        <v>33</v>
      </c>
      <c r="L79" t="s">
        <v>25</v>
      </c>
      <c r="M79" t="s">
        <v>26</v>
      </c>
      <c r="N79" t="s">
        <v>27</v>
      </c>
      <c r="O79">
        <v>0</v>
      </c>
      <c r="P79">
        <v>20</v>
      </c>
      <c r="Q79" t="s">
        <v>73</v>
      </c>
      <c r="R79">
        <v>0</v>
      </c>
    </row>
    <row r="80" spans="1:18" x14ac:dyDescent="0.3">
      <c r="A80" t="s">
        <v>146</v>
      </c>
      <c r="B80" s="1">
        <v>45553.301388888889</v>
      </c>
      <c r="C80" t="s">
        <v>30</v>
      </c>
      <c r="D80" t="s">
        <v>147</v>
      </c>
      <c r="E80">
        <v>588</v>
      </c>
      <c r="F80" t="s">
        <v>20</v>
      </c>
      <c r="G80" t="s">
        <v>21</v>
      </c>
      <c r="H80" t="s">
        <v>37</v>
      </c>
      <c r="I80" t="s">
        <v>229</v>
      </c>
      <c r="J80" t="s">
        <v>76</v>
      </c>
      <c r="K80" t="s">
        <v>39</v>
      </c>
      <c r="L80" t="s">
        <v>24</v>
      </c>
      <c r="M80" t="s">
        <v>26</v>
      </c>
      <c r="N80" t="s">
        <v>27</v>
      </c>
      <c r="O80">
        <v>0</v>
      </c>
      <c r="P80">
        <v>7</v>
      </c>
      <c r="Q80" t="s">
        <v>73</v>
      </c>
      <c r="R80">
        <v>0</v>
      </c>
    </row>
    <row r="81" spans="1:18" x14ac:dyDescent="0.3">
      <c r="A81" t="s">
        <v>148</v>
      </c>
      <c r="B81" s="1">
        <v>45604.851388888892</v>
      </c>
      <c r="C81" t="s">
        <v>30</v>
      </c>
      <c r="D81" t="s">
        <v>58</v>
      </c>
      <c r="E81">
        <v>8335</v>
      </c>
      <c r="F81" t="s">
        <v>20</v>
      </c>
      <c r="G81" t="s">
        <v>59</v>
      </c>
      <c r="H81" t="s">
        <v>59</v>
      </c>
      <c r="I81" t="s">
        <v>229</v>
      </c>
      <c r="J81" t="s">
        <v>105</v>
      </c>
      <c r="K81" t="s">
        <v>24</v>
      </c>
      <c r="L81" t="s">
        <v>50</v>
      </c>
      <c r="M81" t="s">
        <v>94</v>
      </c>
      <c r="N81" t="s">
        <v>27</v>
      </c>
      <c r="O81">
        <v>0</v>
      </c>
      <c r="P81">
        <v>20</v>
      </c>
      <c r="Q81" t="s">
        <v>87</v>
      </c>
      <c r="R81">
        <v>0</v>
      </c>
    </row>
    <row r="82" spans="1:18" x14ac:dyDescent="0.3">
      <c r="A82" t="s">
        <v>149</v>
      </c>
      <c r="B82" s="1">
        <v>45585.551388888889</v>
      </c>
      <c r="C82" t="s">
        <v>71</v>
      </c>
      <c r="D82" t="s">
        <v>58</v>
      </c>
      <c r="E82">
        <v>4279</v>
      </c>
      <c r="F82" t="s">
        <v>20</v>
      </c>
      <c r="G82" t="s">
        <v>37</v>
      </c>
      <c r="H82" t="s">
        <v>37</v>
      </c>
      <c r="I82" t="s">
        <v>229</v>
      </c>
      <c r="J82" t="s">
        <v>32</v>
      </c>
      <c r="K82" t="s">
        <v>40</v>
      </c>
      <c r="L82" t="s">
        <v>25</v>
      </c>
      <c r="M82" t="s">
        <v>26</v>
      </c>
      <c r="N82" t="s">
        <v>43</v>
      </c>
      <c r="O82">
        <v>0</v>
      </c>
      <c r="P82">
        <v>13</v>
      </c>
      <c r="Q82" t="s">
        <v>44</v>
      </c>
      <c r="R82">
        <v>1</v>
      </c>
    </row>
    <row r="83" spans="1:18" x14ac:dyDescent="0.3">
      <c r="A83" t="s">
        <v>150</v>
      </c>
      <c r="B83" s="1">
        <v>45507.552083333336</v>
      </c>
      <c r="C83" t="s">
        <v>30</v>
      </c>
      <c r="D83" t="s">
        <v>58</v>
      </c>
      <c r="E83">
        <v>318</v>
      </c>
      <c r="F83" t="s">
        <v>20</v>
      </c>
      <c r="G83" t="s">
        <v>37</v>
      </c>
      <c r="H83" t="s">
        <v>22</v>
      </c>
      <c r="I83" t="s">
        <v>229</v>
      </c>
      <c r="J83" t="s">
        <v>151</v>
      </c>
      <c r="K83" t="s">
        <v>40</v>
      </c>
      <c r="L83" t="s">
        <v>24</v>
      </c>
      <c r="M83" t="s">
        <v>26</v>
      </c>
      <c r="N83" t="s">
        <v>43</v>
      </c>
      <c r="O83">
        <v>0</v>
      </c>
      <c r="P83">
        <v>13</v>
      </c>
      <c r="Q83" t="s">
        <v>69</v>
      </c>
      <c r="R83">
        <v>1</v>
      </c>
    </row>
    <row r="84" spans="1:18" x14ac:dyDescent="0.3">
      <c r="A84" t="s">
        <v>152</v>
      </c>
      <c r="B84" s="1">
        <v>45294.418749999997</v>
      </c>
      <c r="C84" t="s">
        <v>30</v>
      </c>
      <c r="D84" t="s">
        <v>46</v>
      </c>
      <c r="E84">
        <v>1496</v>
      </c>
      <c r="F84" t="s">
        <v>20</v>
      </c>
      <c r="G84" t="s">
        <v>59</v>
      </c>
      <c r="H84" t="s">
        <v>37</v>
      </c>
      <c r="I84" t="s">
        <v>229</v>
      </c>
      <c r="J84" t="s">
        <v>32</v>
      </c>
      <c r="K84" t="s">
        <v>40</v>
      </c>
      <c r="L84" t="s">
        <v>62</v>
      </c>
      <c r="M84" t="s">
        <v>26</v>
      </c>
      <c r="N84" t="s">
        <v>27</v>
      </c>
      <c r="O84">
        <v>0</v>
      </c>
      <c r="P84">
        <v>10</v>
      </c>
      <c r="Q84" t="s">
        <v>73</v>
      </c>
      <c r="R84">
        <v>0</v>
      </c>
    </row>
    <row r="85" spans="1:18" x14ac:dyDescent="0.3">
      <c r="A85" t="s">
        <v>153</v>
      </c>
      <c r="B85" s="1">
        <v>45600.754166666666</v>
      </c>
      <c r="C85" t="s">
        <v>18</v>
      </c>
      <c r="D85" t="s">
        <v>58</v>
      </c>
      <c r="E85">
        <v>924</v>
      </c>
      <c r="F85" t="s">
        <v>20</v>
      </c>
      <c r="G85" t="s">
        <v>22</v>
      </c>
      <c r="H85" t="s">
        <v>37</v>
      </c>
      <c r="I85" t="s">
        <v>229</v>
      </c>
      <c r="J85" t="s">
        <v>38</v>
      </c>
      <c r="K85" t="s">
        <v>33</v>
      </c>
      <c r="L85" t="s">
        <v>33</v>
      </c>
      <c r="M85" t="s">
        <v>26</v>
      </c>
      <c r="N85" t="s">
        <v>27</v>
      </c>
      <c r="O85">
        <v>0</v>
      </c>
      <c r="P85">
        <v>18</v>
      </c>
      <c r="Q85" t="s">
        <v>52</v>
      </c>
      <c r="R85">
        <v>0</v>
      </c>
    </row>
    <row r="86" spans="1:18" x14ac:dyDescent="0.3">
      <c r="A86" t="s">
        <v>154</v>
      </c>
      <c r="B86" s="1">
        <v>45412.821527777778</v>
      </c>
      <c r="C86" t="s">
        <v>18</v>
      </c>
      <c r="D86" t="s">
        <v>49</v>
      </c>
      <c r="E86">
        <v>291</v>
      </c>
      <c r="F86" t="s">
        <v>20</v>
      </c>
      <c r="G86" t="s">
        <v>37</v>
      </c>
      <c r="H86" t="s">
        <v>59</v>
      </c>
      <c r="I86" t="s">
        <v>229</v>
      </c>
      <c r="J86" t="s">
        <v>60</v>
      </c>
      <c r="K86" t="s">
        <v>56</v>
      </c>
      <c r="L86" t="s">
        <v>33</v>
      </c>
      <c r="M86" t="s">
        <v>94</v>
      </c>
      <c r="N86" t="s">
        <v>27</v>
      </c>
      <c r="O86">
        <v>0</v>
      </c>
      <c r="P86">
        <v>19</v>
      </c>
      <c r="Q86" t="s">
        <v>28</v>
      </c>
      <c r="R86">
        <v>0</v>
      </c>
    </row>
    <row r="87" spans="1:18" x14ac:dyDescent="0.3">
      <c r="A87" t="s">
        <v>155</v>
      </c>
      <c r="B87" s="1">
        <v>45537.779166666667</v>
      </c>
      <c r="C87" t="s">
        <v>71</v>
      </c>
      <c r="D87" t="s">
        <v>31</v>
      </c>
      <c r="E87">
        <v>665</v>
      </c>
      <c r="F87" t="s">
        <v>20</v>
      </c>
      <c r="G87" t="s">
        <v>37</v>
      </c>
      <c r="H87" t="s">
        <v>59</v>
      </c>
      <c r="I87" t="s">
        <v>229</v>
      </c>
      <c r="J87" t="s">
        <v>60</v>
      </c>
      <c r="K87" t="s">
        <v>62</v>
      </c>
      <c r="L87" t="s">
        <v>56</v>
      </c>
      <c r="M87" t="s">
        <v>34</v>
      </c>
      <c r="N87" t="s">
        <v>27</v>
      </c>
      <c r="O87">
        <v>0</v>
      </c>
      <c r="P87">
        <v>18</v>
      </c>
      <c r="Q87" t="s">
        <v>52</v>
      </c>
      <c r="R87">
        <v>0</v>
      </c>
    </row>
    <row r="88" spans="1:18" x14ac:dyDescent="0.3">
      <c r="A88" t="s">
        <v>156</v>
      </c>
      <c r="B88" s="1">
        <v>45311.459027777775</v>
      </c>
      <c r="C88" t="s">
        <v>18</v>
      </c>
      <c r="D88" t="s">
        <v>42</v>
      </c>
      <c r="E88">
        <v>669</v>
      </c>
      <c r="F88" t="s">
        <v>20</v>
      </c>
      <c r="G88" t="s">
        <v>37</v>
      </c>
      <c r="H88" t="s">
        <v>37</v>
      </c>
      <c r="I88" t="s">
        <v>229</v>
      </c>
      <c r="J88" t="s">
        <v>23</v>
      </c>
      <c r="K88" t="s">
        <v>25</v>
      </c>
      <c r="L88" t="s">
        <v>33</v>
      </c>
      <c r="M88" t="s">
        <v>34</v>
      </c>
      <c r="N88" t="s">
        <v>51</v>
      </c>
      <c r="O88">
        <v>0</v>
      </c>
      <c r="P88">
        <v>11</v>
      </c>
      <c r="Q88" t="s">
        <v>69</v>
      </c>
      <c r="R88">
        <v>1</v>
      </c>
    </row>
    <row r="89" spans="1:18" x14ac:dyDescent="0.3">
      <c r="A89" t="s">
        <v>157</v>
      </c>
      <c r="B89" s="1">
        <v>45562.927083333336</v>
      </c>
      <c r="C89" t="s">
        <v>85</v>
      </c>
      <c r="D89" t="s">
        <v>31</v>
      </c>
      <c r="E89">
        <v>1855</v>
      </c>
      <c r="F89" t="s">
        <v>20</v>
      </c>
      <c r="G89" t="s">
        <v>37</v>
      </c>
      <c r="H89" t="s">
        <v>37</v>
      </c>
      <c r="I89" t="s">
        <v>229</v>
      </c>
      <c r="J89" t="s">
        <v>82</v>
      </c>
      <c r="K89" t="s">
        <v>50</v>
      </c>
      <c r="L89" t="s">
        <v>33</v>
      </c>
      <c r="M89" t="s">
        <v>26</v>
      </c>
      <c r="N89" t="s">
        <v>27</v>
      </c>
      <c r="O89">
        <v>0</v>
      </c>
      <c r="P89">
        <v>22</v>
      </c>
      <c r="Q89" t="s">
        <v>87</v>
      </c>
      <c r="R89">
        <v>0</v>
      </c>
    </row>
    <row r="90" spans="1:18" x14ac:dyDescent="0.3">
      <c r="A90" t="s">
        <v>158</v>
      </c>
      <c r="B90" s="1">
        <v>45385.506249999999</v>
      </c>
      <c r="C90" t="s">
        <v>30</v>
      </c>
      <c r="D90" t="s">
        <v>58</v>
      </c>
      <c r="E90">
        <v>1015</v>
      </c>
      <c r="F90" t="s">
        <v>20</v>
      </c>
      <c r="G90" t="s">
        <v>22</v>
      </c>
      <c r="H90" t="s">
        <v>21</v>
      </c>
      <c r="I90" t="s">
        <v>229</v>
      </c>
      <c r="J90" t="s">
        <v>32</v>
      </c>
      <c r="K90" t="s">
        <v>24</v>
      </c>
      <c r="L90" t="s">
        <v>25</v>
      </c>
      <c r="M90" t="s">
        <v>34</v>
      </c>
      <c r="N90" t="s">
        <v>27</v>
      </c>
      <c r="O90">
        <v>0</v>
      </c>
      <c r="P90">
        <v>12</v>
      </c>
      <c r="Q90" t="s">
        <v>73</v>
      </c>
      <c r="R90">
        <v>0</v>
      </c>
    </row>
    <row r="91" spans="1:18" x14ac:dyDescent="0.3">
      <c r="A91" t="s">
        <v>159</v>
      </c>
      <c r="B91" s="1">
        <v>45505.402777777781</v>
      </c>
      <c r="C91" t="s">
        <v>30</v>
      </c>
      <c r="D91" t="s">
        <v>54</v>
      </c>
      <c r="E91">
        <v>188</v>
      </c>
      <c r="F91" t="s">
        <v>20</v>
      </c>
      <c r="G91" t="s">
        <v>21</v>
      </c>
      <c r="H91" t="s">
        <v>37</v>
      </c>
      <c r="I91" t="s">
        <v>229</v>
      </c>
      <c r="J91" t="s">
        <v>66</v>
      </c>
      <c r="K91" t="s">
        <v>40</v>
      </c>
      <c r="L91" t="s">
        <v>62</v>
      </c>
      <c r="M91" t="s">
        <v>26</v>
      </c>
      <c r="N91" t="s">
        <v>27</v>
      </c>
      <c r="O91">
        <v>0</v>
      </c>
      <c r="P91">
        <v>9</v>
      </c>
      <c r="Q91" t="s">
        <v>35</v>
      </c>
      <c r="R91">
        <v>0</v>
      </c>
    </row>
    <row r="92" spans="1:18" x14ac:dyDescent="0.3">
      <c r="A92" t="s">
        <v>160</v>
      </c>
      <c r="B92" s="1">
        <v>45487.512499999997</v>
      </c>
      <c r="C92" t="s">
        <v>18</v>
      </c>
      <c r="D92" t="s">
        <v>54</v>
      </c>
      <c r="E92">
        <v>1702</v>
      </c>
      <c r="F92" t="s">
        <v>20</v>
      </c>
      <c r="G92" t="s">
        <v>21</v>
      </c>
      <c r="H92" t="s">
        <v>22</v>
      </c>
      <c r="I92" t="s">
        <v>229</v>
      </c>
      <c r="J92" t="s">
        <v>55</v>
      </c>
      <c r="K92" t="s">
        <v>25</v>
      </c>
      <c r="L92" t="s">
        <v>25</v>
      </c>
      <c r="M92" t="s">
        <v>26</v>
      </c>
      <c r="N92" t="s">
        <v>27</v>
      </c>
      <c r="O92">
        <v>0</v>
      </c>
      <c r="P92">
        <v>12</v>
      </c>
      <c r="Q92" t="s">
        <v>44</v>
      </c>
      <c r="R92">
        <v>1</v>
      </c>
    </row>
    <row r="93" spans="1:18" x14ac:dyDescent="0.3">
      <c r="A93" t="s">
        <v>161</v>
      </c>
      <c r="B93" s="1">
        <v>45508.433333333334</v>
      </c>
      <c r="C93" t="s">
        <v>71</v>
      </c>
      <c r="D93" t="s">
        <v>49</v>
      </c>
      <c r="E93">
        <v>1816</v>
      </c>
      <c r="F93" t="s">
        <v>20</v>
      </c>
      <c r="G93" t="s">
        <v>22</v>
      </c>
      <c r="H93" t="s">
        <v>22</v>
      </c>
      <c r="I93" t="s">
        <v>229</v>
      </c>
      <c r="J93" t="s">
        <v>76</v>
      </c>
      <c r="K93" t="s">
        <v>62</v>
      </c>
      <c r="L93" t="s">
        <v>25</v>
      </c>
      <c r="M93" t="s">
        <v>26</v>
      </c>
      <c r="N93" t="s">
        <v>27</v>
      </c>
      <c r="O93">
        <v>0</v>
      </c>
      <c r="P93">
        <v>10</v>
      </c>
      <c r="Q93" t="s">
        <v>44</v>
      </c>
      <c r="R93">
        <v>1</v>
      </c>
    </row>
    <row r="94" spans="1:18" x14ac:dyDescent="0.3">
      <c r="A94" t="s">
        <v>162</v>
      </c>
      <c r="B94" s="1">
        <v>45431.752083333333</v>
      </c>
      <c r="C94" t="s">
        <v>18</v>
      </c>
      <c r="D94" t="s">
        <v>54</v>
      </c>
      <c r="E94">
        <v>712</v>
      </c>
      <c r="F94" t="s">
        <v>20</v>
      </c>
      <c r="G94" t="s">
        <v>59</v>
      </c>
      <c r="H94" t="s">
        <v>21</v>
      </c>
      <c r="I94" t="s">
        <v>229</v>
      </c>
      <c r="J94" t="s">
        <v>66</v>
      </c>
      <c r="K94" t="s">
        <v>25</v>
      </c>
      <c r="L94" t="s">
        <v>40</v>
      </c>
      <c r="M94" t="s">
        <v>26</v>
      </c>
      <c r="N94" t="s">
        <v>43</v>
      </c>
      <c r="O94">
        <v>0</v>
      </c>
      <c r="P94">
        <v>18</v>
      </c>
      <c r="Q94" t="s">
        <v>44</v>
      </c>
      <c r="R94">
        <v>1</v>
      </c>
    </row>
    <row r="95" spans="1:18" x14ac:dyDescent="0.3">
      <c r="A95" t="s">
        <v>163</v>
      </c>
      <c r="B95" s="1">
        <v>45577.871527777781</v>
      </c>
      <c r="C95" t="s">
        <v>30</v>
      </c>
      <c r="D95" t="s">
        <v>31</v>
      </c>
      <c r="E95">
        <v>461</v>
      </c>
      <c r="F95" t="s">
        <v>20</v>
      </c>
      <c r="G95" t="s">
        <v>21</v>
      </c>
      <c r="H95" t="s">
        <v>22</v>
      </c>
      <c r="I95" t="s">
        <v>229</v>
      </c>
      <c r="J95" t="s">
        <v>38</v>
      </c>
      <c r="K95" t="s">
        <v>25</v>
      </c>
      <c r="L95" t="s">
        <v>50</v>
      </c>
      <c r="M95" t="s">
        <v>26</v>
      </c>
      <c r="N95" t="s">
        <v>43</v>
      </c>
      <c r="O95">
        <v>0</v>
      </c>
      <c r="P95">
        <v>20</v>
      </c>
      <c r="Q95" t="s">
        <v>69</v>
      </c>
      <c r="R95">
        <v>1</v>
      </c>
    </row>
    <row r="96" spans="1:18" x14ac:dyDescent="0.3">
      <c r="A96" t="s">
        <v>164</v>
      </c>
      <c r="B96" s="1">
        <v>45313.697916666664</v>
      </c>
      <c r="C96" t="s">
        <v>18</v>
      </c>
      <c r="D96" t="s">
        <v>68</v>
      </c>
      <c r="E96">
        <v>224</v>
      </c>
      <c r="F96" t="s">
        <v>20</v>
      </c>
      <c r="G96" t="s">
        <v>21</v>
      </c>
      <c r="H96" t="s">
        <v>22</v>
      </c>
      <c r="I96" t="s">
        <v>229</v>
      </c>
      <c r="J96" t="s">
        <v>66</v>
      </c>
      <c r="K96" t="s">
        <v>24</v>
      </c>
      <c r="L96" t="s">
        <v>25</v>
      </c>
      <c r="M96" t="s">
        <v>26</v>
      </c>
      <c r="N96" t="s">
        <v>43</v>
      </c>
      <c r="O96">
        <v>0</v>
      </c>
      <c r="P96">
        <v>16</v>
      </c>
      <c r="Q96" t="s">
        <v>52</v>
      </c>
      <c r="R96">
        <v>0</v>
      </c>
    </row>
    <row r="97" spans="1:18" x14ac:dyDescent="0.3">
      <c r="A97" t="s">
        <v>165</v>
      </c>
      <c r="B97" s="1">
        <v>45374.925000000003</v>
      </c>
      <c r="C97" t="s">
        <v>18</v>
      </c>
      <c r="D97" t="s">
        <v>46</v>
      </c>
      <c r="E97">
        <v>2202</v>
      </c>
      <c r="F97" t="s">
        <v>20</v>
      </c>
      <c r="G97" t="s">
        <v>37</v>
      </c>
      <c r="H97" t="s">
        <v>59</v>
      </c>
      <c r="I97" t="s">
        <v>229</v>
      </c>
      <c r="J97" t="s">
        <v>105</v>
      </c>
      <c r="K97" t="s">
        <v>24</v>
      </c>
      <c r="L97" t="s">
        <v>25</v>
      </c>
      <c r="M97" t="s">
        <v>26</v>
      </c>
      <c r="N97" t="s">
        <v>27</v>
      </c>
      <c r="O97">
        <v>0</v>
      </c>
      <c r="P97">
        <v>22</v>
      </c>
      <c r="Q97" t="s">
        <v>69</v>
      </c>
      <c r="R97">
        <v>1</v>
      </c>
    </row>
    <row r="98" spans="1:18" x14ac:dyDescent="0.3">
      <c r="A98" t="s">
        <v>166</v>
      </c>
      <c r="B98" s="1">
        <v>45341.761111111111</v>
      </c>
      <c r="C98" t="s">
        <v>71</v>
      </c>
      <c r="D98" t="s">
        <v>46</v>
      </c>
      <c r="E98">
        <v>7821</v>
      </c>
      <c r="F98" t="s">
        <v>20</v>
      </c>
      <c r="G98" t="s">
        <v>21</v>
      </c>
      <c r="H98" t="s">
        <v>21</v>
      </c>
      <c r="I98" t="s">
        <v>229</v>
      </c>
      <c r="J98" t="s">
        <v>76</v>
      </c>
      <c r="K98" t="s">
        <v>39</v>
      </c>
      <c r="L98" t="s">
        <v>62</v>
      </c>
      <c r="M98" t="s">
        <v>94</v>
      </c>
      <c r="N98" t="s">
        <v>43</v>
      </c>
      <c r="O98">
        <v>0</v>
      </c>
      <c r="P98">
        <v>18</v>
      </c>
      <c r="Q98" t="s">
        <v>52</v>
      </c>
      <c r="R98">
        <v>0</v>
      </c>
    </row>
    <row r="99" spans="1:18" x14ac:dyDescent="0.3">
      <c r="A99" t="s">
        <v>167</v>
      </c>
      <c r="B99" s="1">
        <v>45396.84097222222</v>
      </c>
      <c r="C99" t="s">
        <v>30</v>
      </c>
      <c r="D99" t="s">
        <v>46</v>
      </c>
      <c r="E99">
        <v>2135</v>
      </c>
      <c r="F99" t="s">
        <v>20</v>
      </c>
      <c r="G99" t="s">
        <v>22</v>
      </c>
      <c r="H99" t="s">
        <v>21</v>
      </c>
      <c r="I99" t="s">
        <v>229</v>
      </c>
      <c r="J99" t="s">
        <v>60</v>
      </c>
      <c r="K99" t="s">
        <v>33</v>
      </c>
      <c r="L99" t="s">
        <v>56</v>
      </c>
      <c r="M99" t="s">
        <v>26</v>
      </c>
      <c r="N99" t="s">
        <v>27</v>
      </c>
      <c r="O99">
        <v>0</v>
      </c>
      <c r="P99">
        <v>20</v>
      </c>
      <c r="Q99" t="s">
        <v>44</v>
      </c>
      <c r="R99">
        <v>1</v>
      </c>
    </row>
    <row r="100" spans="1:18" x14ac:dyDescent="0.3">
      <c r="A100" t="s">
        <v>168</v>
      </c>
      <c r="B100" s="1">
        <v>45489.540972222225</v>
      </c>
      <c r="C100" t="s">
        <v>18</v>
      </c>
      <c r="D100" t="s">
        <v>58</v>
      </c>
      <c r="E100">
        <v>2776</v>
      </c>
      <c r="F100" t="s">
        <v>20</v>
      </c>
      <c r="G100" t="s">
        <v>37</v>
      </c>
      <c r="H100" t="s">
        <v>21</v>
      </c>
      <c r="I100" t="s">
        <v>229</v>
      </c>
      <c r="J100" t="s">
        <v>55</v>
      </c>
      <c r="K100" t="s">
        <v>50</v>
      </c>
      <c r="L100" t="s">
        <v>25</v>
      </c>
      <c r="M100" t="s">
        <v>26</v>
      </c>
      <c r="N100" t="s">
        <v>51</v>
      </c>
      <c r="O100">
        <v>0</v>
      </c>
      <c r="P100">
        <v>12</v>
      </c>
      <c r="Q100" t="s">
        <v>28</v>
      </c>
      <c r="R100">
        <v>0</v>
      </c>
    </row>
    <row r="101" spans="1:18" x14ac:dyDescent="0.3">
      <c r="A101" t="s">
        <v>169</v>
      </c>
      <c r="B101" s="1">
        <v>45589.693749999999</v>
      </c>
      <c r="C101" t="s">
        <v>30</v>
      </c>
      <c r="D101" t="s">
        <v>31</v>
      </c>
      <c r="E101">
        <v>543</v>
      </c>
      <c r="F101" t="s">
        <v>20</v>
      </c>
      <c r="G101" t="s">
        <v>21</v>
      </c>
      <c r="H101" t="s">
        <v>21</v>
      </c>
      <c r="I101" t="s">
        <v>229</v>
      </c>
      <c r="J101" t="s">
        <v>38</v>
      </c>
      <c r="K101" t="s">
        <v>56</v>
      </c>
      <c r="L101" t="s">
        <v>24</v>
      </c>
      <c r="M101" t="s">
        <v>26</v>
      </c>
      <c r="N101" t="s">
        <v>27</v>
      </c>
      <c r="O101">
        <v>0</v>
      </c>
      <c r="P101">
        <v>16</v>
      </c>
      <c r="Q101" t="s">
        <v>35</v>
      </c>
      <c r="R101">
        <v>0</v>
      </c>
    </row>
    <row r="102" spans="1:18" x14ac:dyDescent="0.3">
      <c r="A102" t="s">
        <v>170</v>
      </c>
      <c r="B102" s="1">
        <v>45635.829861111109</v>
      </c>
      <c r="C102" t="s">
        <v>18</v>
      </c>
      <c r="D102" t="s">
        <v>49</v>
      </c>
      <c r="E102">
        <v>215</v>
      </c>
      <c r="F102" t="s">
        <v>20</v>
      </c>
      <c r="G102" t="s">
        <v>22</v>
      </c>
      <c r="H102" t="s">
        <v>21</v>
      </c>
      <c r="I102" t="s">
        <v>229</v>
      </c>
      <c r="J102" t="s">
        <v>38</v>
      </c>
      <c r="K102" t="s">
        <v>33</v>
      </c>
      <c r="L102" t="s">
        <v>62</v>
      </c>
      <c r="M102" t="s">
        <v>26</v>
      </c>
      <c r="N102" t="s">
        <v>27</v>
      </c>
      <c r="O102">
        <v>0</v>
      </c>
      <c r="P102">
        <v>19</v>
      </c>
      <c r="Q102" t="s">
        <v>52</v>
      </c>
      <c r="R102">
        <v>0</v>
      </c>
    </row>
    <row r="103" spans="1:18" x14ac:dyDescent="0.3">
      <c r="A103" t="s">
        <v>171</v>
      </c>
      <c r="B103" s="1">
        <v>45341.761111111111</v>
      </c>
      <c r="C103" t="s">
        <v>30</v>
      </c>
      <c r="D103" t="s">
        <v>147</v>
      </c>
      <c r="E103">
        <v>8754</v>
      </c>
      <c r="F103" t="s">
        <v>20</v>
      </c>
      <c r="G103" t="s">
        <v>37</v>
      </c>
      <c r="H103" t="s">
        <v>21</v>
      </c>
      <c r="I103" t="s">
        <v>229</v>
      </c>
      <c r="J103" t="s">
        <v>105</v>
      </c>
      <c r="K103" t="s">
        <v>33</v>
      </c>
      <c r="L103" t="s">
        <v>40</v>
      </c>
      <c r="M103" t="s">
        <v>26</v>
      </c>
      <c r="N103" t="s">
        <v>27</v>
      </c>
      <c r="O103">
        <v>0</v>
      </c>
      <c r="P103">
        <v>18</v>
      </c>
      <c r="Q103" t="s">
        <v>52</v>
      </c>
      <c r="R103">
        <v>0</v>
      </c>
    </row>
    <row r="104" spans="1:18" x14ac:dyDescent="0.3">
      <c r="A104" t="s">
        <v>172</v>
      </c>
      <c r="B104" s="1">
        <v>45529.256249999999</v>
      </c>
      <c r="C104" t="s">
        <v>71</v>
      </c>
      <c r="D104" t="s">
        <v>31</v>
      </c>
      <c r="E104">
        <v>561</v>
      </c>
      <c r="F104" t="s">
        <v>20</v>
      </c>
      <c r="G104" t="s">
        <v>21</v>
      </c>
      <c r="H104" t="s">
        <v>21</v>
      </c>
      <c r="I104" t="s">
        <v>229</v>
      </c>
      <c r="J104" t="s">
        <v>151</v>
      </c>
      <c r="K104" t="s">
        <v>33</v>
      </c>
      <c r="L104" t="s">
        <v>24</v>
      </c>
      <c r="M104" t="s">
        <v>26</v>
      </c>
      <c r="N104" t="s">
        <v>27</v>
      </c>
      <c r="O104">
        <v>0</v>
      </c>
      <c r="P104">
        <v>6</v>
      </c>
      <c r="Q104" t="s">
        <v>44</v>
      </c>
      <c r="R104">
        <v>1</v>
      </c>
    </row>
    <row r="105" spans="1:18" x14ac:dyDescent="0.3">
      <c r="A105" t="s">
        <v>173</v>
      </c>
      <c r="B105" s="1">
        <v>45551.765972222223</v>
      </c>
      <c r="C105" t="s">
        <v>18</v>
      </c>
      <c r="D105" t="s">
        <v>54</v>
      </c>
      <c r="E105">
        <v>147</v>
      </c>
      <c r="F105" t="s">
        <v>20</v>
      </c>
      <c r="G105" t="s">
        <v>21</v>
      </c>
      <c r="H105" t="s">
        <v>37</v>
      </c>
      <c r="I105" t="s">
        <v>229</v>
      </c>
      <c r="J105" t="s">
        <v>105</v>
      </c>
      <c r="K105" t="s">
        <v>25</v>
      </c>
      <c r="L105" t="s">
        <v>33</v>
      </c>
      <c r="M105" t="s">
        <v>26</v>
      </c>
      <c r="N105" t="s">
        <v>27</v>
      </c>
      <c r="O105">
        <v>0</v>
      </c>
      <c r="P105">
        <v>18</v>
      </c>
      <c r="Q105" t="s">
        <v>52</v>
      </c>
      <c r="R105">
        <v>0</v>
      </c>
    </row>
    <row r="106" spans="1:18" x14ac:dyDescent="0.3">
      <c r="A106" t="s">
        <v>174</v>
      </c>
      <c r="B106" s="1">
        <v>45452.863888888889</v>
      </c>
      <c r="C106" t="s">
        <v>71</v>
      </c>
      <c r="D106" t="s">
        <v>54</v>
      </c>
      <c r="E106">
        <v>661</v>
      </c>
      <c r="F106" t="s">
        <v>20</v>
      </c>
      <c r="G106" t="s">
        <v>37</v>
      </c>
      <c r="H106" t="s">
        <v>37</v>
      </c>
      <c r="I106" t="s">
        <v>229</v>
      </c>
      <c r="J106" t="s">
        <v>105</v>
      </c>
      <c r="K106" t="s">
        <v>39</v>
      </c>
      <c r="L106" t="s">
        <v>62</v>
      </c>
      <c r="M106" t="s">
        <v>34</v>
      </c>
      <c r="N106" t="s">
        <v>27</v>
      </c>
      <c r="O106">
        <v>0</v>
      </c>
      <c r="P106">
        <v>20</v>
      </c>
      <c r="Q106" t="s">
        <v>44</v>
      </c>
      <c r="R106">
        <v>1</v>
      </c>
    </row>
    <row r="107" spans="1:18" x14ac:dyDescent="0.3">
      <c r="A107" t="s">
        <v>175</v>
      </c>
      <c r="B107" s="1">
        <v>45502.857638888891</v>
      </c>
      <c r="C107" t="s">
        <v>30</v>
      </c>
      <c r="D107" t="s">
        <v>46</v>
      </c>
      <c r="E107">
        <v>7145</v>
      </c>
      <c r="F107" t="s">
        <v>20</v>
      </c>
      <c r="G107" t="s">
        <v>22</v>
      </c>
      <c r="H107" t="s">
        <v>59</v>
      </c>
      <c r="I107" t="s">
        <v>229</v>
      </c>
      <c r="J107" t="s">
        <v>105</v>
      </c>
      <c r="K107" t="s">
        <v>40</v>
      </c>
      <c r="L107" t="s">
        <v>39</v>
      </c>
      <c r="M107" t="s">
        <v>26</v>
      </c>
      <c r="N107" t="s">
        <v>47</v>
      </c>
      <c r="O107">
        <v>0</v>
      </c>
      <c r="P107">
        <v>20</v>
      </c>
      <c r="Q107" t="s">
        <v>52</v>
      </c>
      <c r="R107">
        <v>0</v>
      </c>
    </row>
    <row r="108" spans="1:18" x14ac:dyDescent="0.3">
      <c r="A108" t="s">
        <v>176</v>
      </c>
      <c r="B108" s="1">
        <v>45490.421527777777</v>
      </c>
      <c r="C108" t="s">
        <v>18</v>
      </c>
      <c r="D108" t="s">
        <v>42</v>
      </c>
      <c r="E108">
        <v>4468</v>
      </c>
      <c r="F108" t="s">
        <v>20</v>
      </c>
      <c r="G108" t="s">
        <v>37</v>
      </c>
      <c r="H108" t="s">
        <v>37</v>
      </c>
      <c r="I108" t="s">
        <v>229</v>
      </c>
      <c r="J108" t="s">
        <v>66</v>
      </c>
      <c r="K108" t="s">
        <v>62</v>
      </c>
      <c r="L108" t="s">
        <v>39</v>
      </c>
      <c r="M108" t="s">
        <v>26</v>
      </c>
      <c r="N108" t="s">
        <v>43</v>
      </c>
      <c r="O108">
        <v>0</v>
      </c>
      <c r="P108">
        <v>10</v>
      </c>
      <c r="Q108" t="s">
        <v>73</v>
      </c>
      <c r="R108">
        <v>0</v>
      </c>
    </row>
    <row r="109" spans="1:18" x14ac:dyDescent="0.3">
      <c r="A109" t="s">
        <v>177</v>
      </c>
      <c r="B109" s="1">
        <v>45650.463888888888</v>
      </c>
      <c r="C109" t="s">
        <v>71</v>
      </c>
      <c r="D109" t="s">
        <v>58</v>
      </c>
      <c r="E109">
        <v>2850</v>
      </c>
      <c r="F109" t="s">
        <v>20</v>
      </c>
      <c r="G109" t="s">
        <v>21</v>
      </c>
      <c r="H109" t="s">
        <v>37</v>
      </c>
      <c r="I109" t="s">
        <v>229</v>
      </c>
      <c r="J109" t="s">
        <v>76</v>
      </c>
      <c r="K109" t="s">
        <v>62</v>
      </c>
      <c r="L109" t="s">
        <v>33</v>
      </c>
      <c r="M109" t="s">
        <v>26</v>
      </c>
      <c r="N109" t="s">
        <v>47</v>
      </c>
      <c r="O109">
        <v>0</v>
      </c>
      <c r="P109">
        <v>11</v>
      </c>
      <c r="Q109" t="s">
        <v>28</v>
      </c>
      <c r="R109">
        <v>0</v>
      </c>
    </row>
    <row r="110" spans="1:18" x14ac:dyDescent="0.3">
      <c r="A110" t="s">
        <v>178</v>
      </c>
      <c r="B110" s="1">
        <v>45578.853472222225</v>
      </c>
      <c r="C110" t="s">
        <v>30</v>
      </c>
      <c r="D110" t="s">
        <v>58</v>
      </c>
      <c r="E110">
        <v>2142</v>
      </c>
      <c r="F110" t="s">
        <v>20</v>
      </c>
      <c r="G110" t="s">
        <v>22</v>
      </c>
      <c r="H110" t="s">
        <v>37</v>
      </c>
      <c r="I110" t="s">
        <v>229</v>
      </c>
      <c r="J110" t="s">
        <v>76</v>
      </c>
      <c r="K110" t="s">
        <v>33</v>
      </c>
      <c r="L110" t="s">
        <v>50</v>
      </c>
      <c r="M110" t="s">
        <v>26</v>
      </c>
      <c r="N110" t="s">
        <v>27</v>
      </c>
      <c r="O110">
        <v>0</v>
      </c>
      <c r="P110">
        <v>20</v>
      </c>
      <c r="Q110" t="s">
        <v>44</v>
      </c>
      <c r="R110">
        <v>1</v>
      </c>
    </row>
    <row r="111" spans="1:18" x14ac:dyDescent="0.3">
      <c r="A111" t="s">
        <v>179</v>
      </c>
      <c r="B111" s="1">
        <v>45492.479166666664</v>
      </c>
      <c r="C111" t="s">
        <v>85</v>
      </c>
      <c r="D111" t="s">
        <v>49</v>
      </c>
      <c r="E111">
        <v>61</v>
      </c>
      <c r="F111" t="s">
        <v>20</v>
      </c>
      <c r="G111" t="s">
        <v>21</v>
      </c>
      <c r="H111" t="s">
        <v>21</v>
      </c>
      <c r="I111" t="s">
        <v>229</v>
      </c>
      <c r="J111" t="s">
        <v>60</v>
      </c>
      <c r="K111" t="s">
        <v>40</v>
      </c>
      <c r="L111" t="s">
        <v>25</v>
      </c>
      <c r="M111" t="s">
        <v>26</v>
      </c>
      <c r="N111" t="s">
        <v>43</v>
      </c>
      <c r="O111">
        <v>0</v>
      </c>
      <c r="P111">
        <v>11</v>
      </c>
      <c r="Q111" t="s">
        <v>87</v>
      </c>
      <c r="R111">
        <v>0</v>
      </c>
    </row>
    <row r="112" spans="1:18" x14ac:dyDescent="0.3">
      <c r="A112" t="s">
        <v>180</v>
      </c>
      <c r="B112" s="1">
        <v>45398.674305555556</v>
      </c>
      <c r="C112" t="s">
        <v>18</v>
      </c>
      <c r="D112" t="s">
        <v>49</v>
      </c>
      <c r="E112">
        <v>1288</v>
      </c>
      <c r="F112" t="s">
        <v>20</v>
      </c>
      <c r="G112" t="s">
        <v>37</v>
      </c>
      <c r="H112" t="s">
        <v>59</v>
      </c>
      <c r="I112" t="s">
        <v>229</v>
      </c>
      <c r="J112" t="s">
        <v>66</v>
      </c>
      <c r="K112" t="s">
        <v>25</v>
      </c>
      <c r="L112" t="s">
        <v>33</v>
      </c>
      <c r="M112" t="s">
        <v>26</v>
      </c>
      <c r="N112" t="s">
        <v>27</v>
      </c>
      <c r="O112">
        <v>0</v>
      </c>
      <c r="P112">
        <v>16</v>
      </c>
      <c r="Q112" t="s">
        <v>28</v>
      </c>
      <c r="R112">
        <v>0</v>
      </c>
    </row>
    <row r="113" spans="1:18" x14ac:dyDescent="0.3">
      <c r="A113" t="s">
        <v>181</v>
      </c>
      <c r="B113" s="1">
        <v>45515.818749999999</v>
      </c>
      <c r="C113" t="s">
        <v>18</v>
      </c>
      <c r="D113" t="s">
        <v>49</v>
      </c>
      <c r="E113">
        <v>1014</v>
      </c>
      <c r="F113" t="s">
        <v>20</v>
      </c>
      <c r="G113" t="s">
        <v>37</v>
      </c>
      <c r="H113" t="s">
        <v>37</v>
      </c>
      <c r="I113" t="s">
        <v>229</v>
      </c>
      <c r="J113" t="s">
        <v>23</v>
      </c>
      <c r="K113" t="s">
        <v>50</v>
      </c>
      <c r="L113" t="s">
        <v>40</v>
      </c>
      <c r="M113" t="s">
        <v>26</v>
      </c>
      <c r="N113" t="s">
        <v>51</v>
      </c>
      <c r="O113">
        <v>0</v>
      </c>
      <c r="P113">
        <v>19</v>
      </c>
      <c r="Q113" t="s">
        <v>44</v>
      </c>
      <c r="R113">
        <v>1</v>
      </c>
    </row>
    <row r="114" spans="1:18" x14ac:dyDescent="0.3">
      <c r="A114" t="s">
        <v>182</v>
      </c>
      <c r="B114" s="1">
        <v>45327.800694444442</v>
      </c>
      <c r="C114" t="s">
        <v>71</v>
      </c>
      <c r="D114" t="s">
        <v>54</v>
      </c>
      <c r="E114">
        <v>2474</v>
      </c>
      <c r="F114" t="s">
        <v>20</v>
      </c>
      <c r="G114" t="s">
        <v>72</v>
      </c>
      <c r="H114" t="s">
        <v>59</v>
      </c>
      <c r="I114" t="s">
        <v>229</v>
      </c>
      <c r="J114" t="s">
        <v>23</v>
      </c>
      <c r="K114" t="s">
        <v>24</v>
      </c>
      <c r="L114" t="s">
        <v>56</v>
      </c>
      <c r="M114" t="s">
        <v>94</v>
      </c>
      <c r="N114" t="s">
        <v>47</v>
      </c>
      <c r="O114">
        <v>0</v>
      </c>
      <c r="P114">
        <v>19</v>
      </c>
      <c r="Q114" t="s">
        <v>52</v>
      </c>
      <c r="R114">
        <v>0</v>
      </c>
    </row>
    <row r="115" spans="1:18" x14ac:dyDescent="0.3">
      <c r="A115" t="s">
        <v>183</v>
      </c>
      <c r="B115" s="1">
        <v>45621.82916666667</v>
      </c>
      <c r="C115" t="s">
        <v>30</v>
      </c>
      <c r="D115" t="s">
        <v>79</v>
      </c>
      <c r="E115">
        <v>861</v>
      </c>
      <c r="F115" t="s">
        <v>20</v>
      </c>
      <c r="G115" t="s">
        <v>72</v>
      </c>
      <c r="H115" t="s">
        <v>21</v>
      </c>
      <c r="I115" t="s">
        <v>229</v>
      </c>
      <c r="J115" t="s">
        <v>76</v>
      </c>
      <c r="K115" t="s">
        <v>39</v>
      </c>
      <c r="L115" t="s">
        <v>25</v>
      </c>
      <c r="M115" t="s">
        <v>26</v>
      </c>
      <c r="N115" t="s">
        <v>43</v>
      </c>
      <c r="O115">
        <v>0</v>
      </c>
      <c r="P115">
        <v>19</v>
      </c>
      <c r="Q115" t="s">
        <v>52</v>
      </c>
      <c r="R115">
        <v>0</v>
      </c>
    </row>
    <row r="116" spans="1:18" x14ac:dyDescent="0.3">
      <c r="A116" t="s">
        <v>184</v>
      </c>
      <c r="B116" s="1">
        <v>45408.864583333336</v>
      </c>
      <c r="C116" t="s">
        <v>18</v>
      </c>
      <c r="D116" t="s">
        <v>68</v>
      </c>
      <c r="E116">
        <v>507</v>
      </c>
      <c r="F116" t="s">
        <v>20</v>
      </c>
      <c r="G116" t="s">
        <v>37</v>
      </c>
      <c r="H116" t="s">
        <v>37</v>
      </c>
      <c r="I116" t="s">
        <v>229</v>
      </c>
      <c r="J116" t="s">
        <v>151</v>
      </c>
      <c r="K116" t="s">
        <v>25</v>
      </c>
      <c r="L116" t="s">
        <v>24</v>
      </c>
      <c r="M116" t="s">
        <v>26</v>
      </c>
      <c r="N116" t="s">
        <v>43</v>
      </c>
      <c r="O116">
        <v>0</v>
      </c>
      <c r="P116">
        <v>20</v>
      </c>
      <c r="Q116" t="s">
        <v>87</v>
      </c>
      <c r="R116">
        <v>0</v>
      </c>
    </row>
    <row r="117" spans="1:18" x14ac:dyDescent="0.3">
      <c r="A117" t="s">
        <v>185</v>
      </c>
      <c r="B117" s="1">
        <v>45510.552777777775</v>
      </c>
      <c r="C117" t="s">
        <v>30</v>
      </c>
      <c r="D117" t="s">
        <v>46</v>
      </c>
      <c r="E117">
        <v>404</v>
      </c>
      <c r="F117" t="s">
        <v>20</v>
      </c>
      <c r="G117" t="s">
        <v>22</v>
      </c>
      <c r="H117" t="s">
        <v>59</v>
      </c>
      <c r="I117" t="s">
        <v>229</v>
      </c>
      <c r="J117" t="s">
        <v>66</v>
      </c>
      <c r="K117" t="s">
        <v>33</v>
      </c>
      <c r="L117" t="s">
        <v>25</v>
      </c>
      <c r="M117" t="s">
        <v>26</v>
      </c>
      <c r="N117" t="s">
        <v>27</v>
      </c>
      <c r="O117">
        <v>0</v>
      </c>
      <c r="P117">
        <v>13</v>
      </c>
      <c r="Q117" t="s">
        <v>28</v>
      </c>
      <c r="R117">
        <v>0</v>
      </c>
    </row>
    <row r="118" spans="1:18" x14ac:dyDescent="0.3">
      <c r="A118" t="s">
        <v>186</v>
      </c>
      <c r="B118" s="1">
        <v>45326.734027777777</v>
      </c>
      <c r="C118" t="s">
        <v>30</v>
      </c>
      <c r="D118" t="s">
        <v>54</v>
      </c>
      <c r="E118">
        <v>621</v>
      </c>
      <c r="F118" t="s">
        <v>20</v>
      </c>
      <c r="G118" t="s">
        <v>37</v>
      </c>
      <c r="H118" t="s">
        <v>22</v>
      </c>
      <c r="I118" t="s">
        <v>229</v>
      </c>
      <c r="J118" t="s">
        <v>23</v>
      </c>
      <c r="K118" t="s">
        <v>25</v>
      </c>
      <c r="L118" t="s">
        <v>39</v>
      </c>
      <c r="M118" t="s">
        <v>34</v>
      </c>
      <c r="N118" t="s">
        <v>47</v>
      </c>
      <c r="O118">
        <v>0</v>
      </c>
      <c r="P118">
        <v>17</v>
      </c>
      <c r="Q118" t="s">
        <v>44</v>
      </c>
      <c r="R118">
        <v>1</v>
      </c>
    </row>
    <row r="119" spans="1:18" x14ac:dyDescent="0.3">
      <c r="A119" t="s">
        <v>187</v>
      </c>
      <c r="B119" s="1">
        <v>45589.393055555556</v>
      </c>
      <c r="C119" t="s">
        <v>71</v>
      </c>
      <c r="D119" t="s">
        <v>42</v>
      </c>
      <c r="E119">
        <v>1830</v>
      </c>
      <c r="F119" t="s">
        <v>20</v>
      </c>
      <c r="G119" t="s">
        <v>22</v>
      </c>
      <c r="H119" t="s">
        <v>22</v>
      </c>
      <c r="I119" t="s">
        <v>229</v>
      </c>
      <c r="J119" t="s">
        <v>55</v>
      </c>
      <c r="K119" t="s">
        <v>50</v>
      </c>
      <c r="L119" t="s">
        <v>25</v>
      </c>
      <c r="M119" t="s">
        <v>26</v>
      </c>
      <c r="N119" t="s">
        <v>27</v>
      </c>
      <c r="O119">
        <v>0</v>
      </c>
      <c r="P119">
        <v>9</v>
      </c>
      <c r="Q119" t="s">
        <v>35</v>
      </c>
      <c r="R119">
        <v>0</v>
      </c>
    </row>
    <row r="120" spans="1:18" x14ac:dyDescent="0.3">
      <c r="A120" t="s">
        <v>188</v>
      </c>
      <c r="B120" s="1">
        <v>45385.556250000001</v>
      </c>
      <c r="C120" t="s">
        <v>30</v>
      </c>
      <c r="D120" t="s">
        <v>54</v>
      </c>
      <c r="E120">
        <v>657</v>
      </c>
      <c r="F120" t="s">
        <v>20</v>
      </c>
      <c r="G120" t="s">
        <v>21</v>
      </c>
      <c r="H120" t="s">
        <v>21</v>
      </c>
      <c r="I120" t="s">
        <v>229</v>
      </c>
      <c r="J120" t="s">
        <v>23</v>
      </c>
      <c r="K120" t="s">
        <v>40</v>
      </c>
      <c r="L120" t="s">
        <v>56</v>
      </c>
      <c r="M120" t="s">
        <v>34</v>
      </c>
      <c r="N120" t="s">
        <v>27</v>
      </c>
      <c r="O120">
        <v>0</v>
      </c>
      <c r="P120">
        <v>13</v>
      </c>
      <c r="Q120" t="s">
        <v>73</v>
      </c>
      <c r="R120">
        <v>0</v>
      </c>
    </row>
    <row r="121" spans="1:18" x14ac:dyDescent="0.3">
      <c r="A121" t="s">
        <v>189</v>
      </c>
      <c r="B121" s="1">
        <v>45590.481944444444</v>
      </c>
      <c r="C121" t="s">
        <v>18</v>
      </c>
      <c r="D121" t="s">
        <v>46</v>
      </c>
      <c r="E121">
        <v>6804</v>
      </c>
      <c r="F121" t="s">
        <v>20</v>
      </c>
      <c r="G121" t="s">
        <v>21</v>
      </c>
      <c r="H121" t="s">
        <v>21</v>
      </c>
      <c r="I121" t="s">
        <v>229</v>
      </c>
      <c r="J121" t="s">
        <v>38</v>
      </c>
      <c r="K121" t="s">
        <v>39</v>
      </c>
      <c r="L121" t="s">
        <v>25</v>
      </c>
      <c r="M121" t="s">
        <v>26</v>
      </c>
      <c r="N121" t="s">
        <v>43</v>
      </c>
      <c r="O121">
        <v>0</v>
      </c>
      <c r="P121">
        <v>11</v>
      </c>
      <c r="Q121" t="s">
        <v>87</v>
      </c>
      <c r="R121">
        <v>0</v>
      </c>
    </row>
    <row r="122" spans="1:18" x14ac:dyDescent="0.3">
      <c r="A122" t="s">
        <v>190</v>
      </c>
      <c r="B122" s="1">
        <v>45371.218055555553</v>
      </c>
      <c r="C122" t="s">
        <v>18</v>
      </c>
      <c r="D122" t="s">
        <v>58</v>
      </c>
      <c r="E122">
        <v>261</v>
      </c>
      <c r="F122" t="s">
        <v>20</v>
      </c>
      <c r="G122" t="s">
        <v>21</v>
      </c>
      <c r="H122" t="s">
        <v>21</v>
      </c>
      <c r="I122" t="s">
        <v>229</v>
      </c>
      <c r="J122" t="s">
        <v>66</v>
      </c>
      <c r="K122" t="s">
        <v>56</v>
      </c>
      <c r="L122" t="s">
        <v>25</v>
      </c>
      <c r="M122" t="s">
        <v>26</v>
      </c>
      <c r="N122" t="s">
        <v>27</v>
      </c>
      <c r="O122">
        <v>0</v>
      </c>
      <c r="P122">
        <v>5</v>
      </c>
      <c r="Q122" t="s">
        <v>73</v>
      </c>
      <c r="R122">
        <v>0</v>
      </c>
    </row>
    <row r="123" spans="1:18" x14ac:dyDescent="0.3">
      <c r="A123" t="s">
        <v>191</v>
      </c>
      <c r="B123" s="1">
        <v>45311.568055555559</v>
      </c>
      <c r="C123" t="s">
        <v>18</v>
      </c>
      <c r="D123" t="s">
        <v>19</v>
      </c>
      <c r="E123">
        <v>268</v>
      </c>
      <c r="F123" t="s">
        <v>20</v>
      </c>
      <c r="G123" t="s">
        <v>21</v>
      </c>
      <c r="H123" t="s">
        <v>21</v>
      </c>
      <c r="I123" t="s">
        <v>229</v>
      </c>
      <c r="J123" t="s">
        <v>32</v>
      </c>
      <c r="K123" t="s">
        <v>56</v>
      </c>
      <c r="L123" t="s">
        <v>40</v>
      </c>
      <c r="M123" t="s">
        <v>26</v>
      </c>
      <c r="N123" t="s">
        <v>47</v>
      </c>
      <c r="O123">
        <v>0</v>
      </c>
      <c r="P123">
        <v>13</v>
      </c>
      <c r="Q123" t="s">
        <v>69</v>
      </c>
      <c r="R123">
        <v>1</v>
      </c>
    </row>
    <row r="124" spans="1:18" x14ac:dyDescent="0.3">
      <c r="A124" t="s">
        <v>192</v>
      </c>
      <c r="B124" s="1">
        <v>45294.615277777775</v>
      </c>
      <c r="C124" t="s">
        <v>18</v>
      </c>
      <c r="D124" t="s">
        <v>68</v>
      </c>
      <c r="E124">
        <v>1410</v>
      </c>
      <c r="F124" t="s">
        <v>20</v>
      </c>
      <c r="G124" t="s">
        <v>21</v>
      </c>
      <c r="H124" t="s">
        <v>22</v>
      </c>
      <c r="I124" t="s">
        <v>229</v>
      </c>
      <c r="J124" t="s">
        <v>38</v>
      </c>
      <c r="K124" t="s">
        <v>25</v>
      </c>
      <c r="L124" t="s">
        <v>39</v>
      </c>
      <c r="M124" t="s">
        <v>26</v>
      </c>
      <c r="N124" t="s">
        <v>27</v>
      </c>
      <c r="O124">
        <v>0</v>
      </c>
      <c r="P124">
        <v>14</v>
      </c>
      <c r="Q124" t="s">
        <v>73</v>
      </c>
      <c r="R124">
        <v>0</v>
      </c>
    </row>
    <row r="125" spans="1:18" x14ac:dyDescent="0.3">
      <c r="A125" t="s">
        <v>193</v>
      </c>
      <c r="B125" s="1">
        <v>45314.490972222222</v>
      </c>
      <c r="C125" t="s">
        <v>18</v>
      </c>
      <c r="D125" t="s">
        <v>58</v>
      </c>
      <c r="E125">
        <v>342</v>
      </c>
      <c r="F125" t="s">
        <v>20</v>
      </c>
      <c r="G125" t="s">
        <v>21</v>
      </c>
      <c r="H125" t="s">
        <v>21</v>
      </c>
      <c r="I125" t="s">
        <v>229</v>
      </c>
      <c r="J125" t="s">
        <v>32</v>
      </c>
      <c r="K125" t="s">
        <v>62</v>
      </c>
      <c r="L125" t="s">
        <v>25</v>
      </c>
      <c r="M125" t="s">
        <v>34</v>
      </c>
      <c r="N125" t="s">
        <v>47</v>
      </c>
      <c r="O125">
        <v>0</v>
      </c>
      <c r="P125">
        <v>11</v>
      </c>
      <c r="Q125" t="s">
        <v>28</v>
      </c>
      <c r="R125">
        <v>0</v>
      </c>
    </row>
    <row r="126" spans="1:18" x14ac:dyDescent="0.3">
      <c r="A126" t="s">
        <v>194</v>
      </c>
      <c r="B126" s="1">
        <v>45391.568749999999</v>
      </c>
      <c r="C126" t="s">
        <v>71</v>
      </c>
      <c r="D126" t="s">
        <v>58</v>
      </c>
      <c r="E126">
        <v>3941</v>
      </c>
      <c r="F126" t="s">
        <v>20</v>
      </c>
      <c r="G126" t="s">
        <v>37</v>
      </c>
      <c r="H126" t="s">
        <v>21</v>
      </c>
      <c r="I126" t="s">
        <v>229</v>
      </c>
      <c r="J126" t="s">
        <v>55</v>
      </c>
      <c r="K126" t="s">
        <v>56</v>
      </c>
      <c r="L126" t="s">
        <v>56</v>
      </c>
      <c r="M126" t="s">
        <v>34</v>
      </c>
      <c r="N126" t="s">
        <v>27</v>
      </c>
      <c r="O126">
        <v>0</v>
      </c>
      <c r="P126">
        <v>13</v>
      </c>
      <c r="Q126" t="s">
        <v>28</v>
      </c>
      <c r="R126">
        <v>0</v>
      </c>
    </row>
    <row r="127" spans="1:18" x14ac:dyDescent="0.3">
      <c r="A127" t="s">
        <v>195</v>
      </c>
      <c r="B127" s="1">
        <v>45424.495833333334</v>
      </c>
      <c r="C127" t="s">
        <v>30</v>
      </c>
      <c r="D127" t="s">
        <v>31</v>
      </c>
      <c r="E127">
        <v>4073</v>
      </c>
      <c r="F127" t="s">
        <v>20</v>
      </c>
      <c r="G127" t="s">
        <v>37</v>
      </c>
      <c r="H127" t="s">
        <v>72</v>
      </c>
      <c r="I127" t="s">
        <v>229</v>
      </c>
      <c r="J127" t="s">
        <v>66</v>
      </c>
      <c r="K127" t="s">
        <v>24</v>
      </c>
      <c r="L127" t="s">
        <v>39</v>
      </c>
      <c r="M127" t="s">
        <v>26</v>
      </c>
      <c r="N127" t="s">
        <v>47</v>
      </c>
      <c r="O127">
        <v>0</v>
      </c>
      <c r="P127">
        <v>11</v>
      </c>
      <c r="Q127" t="s">
        <v>44</v>
      </c>
      <c r="R127">
        <v>1</v>
      </c>
    </row>
    <row r="128" spans="1:18" x14ac:dyDescent="0.3">
      <c r="A128" t="s">
        <v>196</v>
      </c>
      <c r="B128" s="1">
        <v>45411.628472222219</v>
      </c>
      <c r="C128" t="s">
        <v>30</v>
      </c>
      <c r="D128" t="s">
        <v>49</v>
      </c>
      <c r="E128">
        <v>91</v>
      </c>
      <c r="F128" t="s">
        <v>20</v>
      </c>
      <c r="G128" t="s">
        <v>72</v>
      </c>
      <c r="H128" t="s">
        <v>59</v>
      </c>
      <c r="I128" t="s">
        <v>229</v>
      </c>
      <c r="J128" t="s">
        <v>55</v>
      </c>
      <c r="K128" t="s">
        <v>24</v>
      </c>
      <c r="L128" t="s">
        <v>25</v>
      </c>
      <c r="M128" t="s">
        <v>26</v>
      </c>
      <c r="N128" t="s">
        <v>27</v>
      </c>
      <c r="O128">
        <v>0</v>
      </c>
      <c r="P128">
        <v>15</v>
      </c>
      <c r="Q128" t="s">
        <v>52</v>
      </c>
      <c r="R128">
        <v>0</v>
      </c>
    </row>
    <row r="129" spans="1:18" x14ac:dyDescent="0.3">
      <c r="A129" t="s">
        <v>197</v>
      </c>
      <c r="B129" s="1">
        <v>45549.563888888886</v>
      </c>
      <c r="C129" t="s">
        <v>71</v>
      </c>
      <c r="D129" t="s">
        <v>19</v>
      </c>
      <c r="E129">
        <v>209</v>
      </c>
      <c r="F129" t="s">
        <v>20</v>
      </c>
      <c r="G129" t="s">
        <v>72</v>
      </c>
      <c r="H129" t="s">
        <v>59</v>
      </c>
      <c r="I129" t="s">
        <v>229</v>
      </c>
      <c r="J129" t="s">
        <v>38</v>
      </c>
      <c r="K129" t="s">
        <v>56</v>
      </c>
      <c r="L129" t="s">
        <v>33</v>
      </c>
      <c r="M129" t="s">
        <v>94</v>
      </c>
      <c r="N129" t="s">
        <v>27</v>
      </c>
      <c r="O129">
        <v>0</v>
      </c>
      <c r="P129">
        <v>13</v>
      </c>
      <c r="Q129" t="s">
        <v>69</v>
      </c>
      <c r="R129">
        <v>1</v>
      </c>
    </row>
    <row r="130" spans="1:18" x14ac:dyDescent="0.3">
      <c r="A130" t="s">
        <v>198</v>
      </c>
      <c r="B130" s="1">
        <v>45360.759027777778</v>
      </c>
      <c r="C130" t="s">
        <v>18</v>
      </c>
      <c r="D130" t="s">
        <v>68</v>
      </c>
      <c r="E130">
        <v>37</v>
      </c>
      <c r="F130" t="s">
        <v>20</v>
      </c>
      <c r="G130" t="s">
        <v>21</v>
      </c>
      <c r="H130" t="s">
        <v>21</v>
      </c>
      <c r="I130" t="s">
        <v>229</v>
      </c>
      <c r="J130" t="s">
        <v>38</v>
      </c>
      <c r="K130" t="s">
        <v>56</v>
      </c>
      <c r="L130" t="s">
        <v>50</v>
      </c>
      <c r="M130" t="s">
        <v>26</v>
      </c>
      <c r="N130" t="s">
        <v>43</v>
      </c>
      <c r="O130">
        <v>0</v>
      </c>
      <c r="P130">
        <v>18</v>
      </c>
      <c r="Q130" t="s">
        <v>69</v>
      </c>
      <c r="R130">
        <v>1</v>
      </c>
    </row>
    <row r="131" spans="1:18" x14ac:dyDescent="0.3">
      <c r="A131" t="s">
        <v>199</v>
      </c>
      <c r="B131" s="1">
        <v>45540.487500000003</v>
      </c>
      <c r="C131" t="s">
        <v>18</v>
      </c>
      <c r="D131" t="s">
        <v>42</v>
      </c>
      <c r="E131">
        <v>596</v>
      </c>
      <c r="F131" t="s">
        <v>20</v>
      </c>
      <c r="G131" t="s">
        <v>21</v>
      </c>
      <c r="H131" t="s">
        <v>22</v>
      </c>
      <c r="I131" t="s">
        <v>229</v>
      </c>
      <c r="J131" t="s">
        <v>60</v>
      </c>
      <c r="K131" t="s">
        <v>24</v>
      </c>
      <c r="L131" t="s">
        <v>56</v>
      </c>
      <c r="M131" t="s">
        <v>26</v>
      </c>
      <c r="N131" t="s">
        <v>27</v>
      </c>
      <c r="O131">
        <v>0</v>
      </c>
      <c r="P131">
        <v>11</v>
      </c>
      <c r="Q131" t="s">
        <v>35</v>
      </c>
      <c r="R131">
        <v>0</v>
      </c>
    </row>
    <row r="132" spans="1:18" x14ac:dyDescent="0.3">
      <c r="A132" t="s">
        <v>200</v>
      </c>
      <c r="B132" s="1">
        <v>45575.976388888892</v>
      </c>
      <c r="C132" t="s">
        <v>30</v>
      </c>
      <c r="D132" t="s">
        <v>68</v>
      </c>
      <c r="E132">
        <v>66</v>
      </c>
      <c r="F132" t="s">
        <v>20</v>
      </c>
      <c r="G132" t="s">
        <v>37</v>
      </c>
      <c r="H132" t="s">
        <v>37</v>
      </c>
      <c r="I132" t="s">
        <v>229</v>
      </c>
      <c r="J132" t="s">
        <v>60</v>
      </c>
      <c r="K132" t="s">
        <v>33</v>
      </c>
      <c r="L132" t="s">
        <v>40</v>
      </c>
      <c r="M132" t="s">
        <v>34</v>
      </c>
      <c r="N132" t="s">
        <v>27</v>
      </c>
      <c r="O132">
        <v>0</v>
      </c>
      <c r="P132">
        <v>23</v>
      </c>
      <c r="Q132" t="s">
        <v>35</v>
      </c>
      <c r="R132">
        <v>0</v>
      </c>
    </row>
    <row r="133" spans="1:18" x14ac:dyDescent="0.3">
      <c r="A133" t="s">
        <v>201</v>
      </c>
      <c r="B133" s="1">
        <v>45654.449305555558</v>
      </c>
      <c r="C133" t="s">
        <v>85</v>
      </c>
      <c r="D133" t="s">
        <v>49</v>
      </c>
      <c r="E133">
        <v>225</v>
      </c>
      <c r="F133" t="s">
        <v>20</v>
      </c>
      <c r="G133" t="s">
        <v>21</v>
      </c>
      <c r="H133" t="s">
        <v>37</v>
      </c>
      <c r="I133" t="s">
        <v>229</v>
      </c>
      <c r="J133" t="s">
        <v>60</v>
      </c>
      <c r="K133" t="s">
        <v>33</v>
      </c>
      <c r="L133" t="s">
        <v>56</v>
      </c>
      <c r="M133" t="s">
        <v>26</v>
      </c>
      <c r="N133" t="s">
        <v>27</v>
      </c>
      <c r="O133">
        <v>0</v>
      </c>
      <c r="P133">
        <v>10</v>
      </c>
      <c r="Q133" t="s">
        <v>69</v>
      </c>
      <c r="R133">
        <v>1</v>
      </c>
    </row>
    <row r="134" spans="1:18" x14ac:dyDescent="0.3">
      <c r="A134" t="s">
        <v>202</v>
      </c>
      <c r="B134" s="1">
        <v>45387.856249999997</v>
      </c>
      <c r="C134" t="s">
        <v>30</v>
      </c>
      <c r="D134" t="s">
        <v>19</v>
      </c>
      <c r="E134">
        <v>187</v>
      </c>
      <c r="F134" t="s">
        <v>20</v>
      </c>
      <c r="G134" t="s">
        <v>21</v>
      </c>
      <c r="H134" t="s">
        <v>22</v>
      </c>
      <c r="I134" t="s">
        <v>229</v>
      </c>
      <c r="J134" t="s">
        <v>23</v>
      </c>
      <c r="K134" t="s">
        <v>25</v>
      </c>
      <c r="L134" t="s">
        <v>24</v>
      </c>
      <c r="M134" t="s">
        <v>26</v>
      </c>
      <c r="N134" t="s">
        <v>27</v>
      </c>
      <c r="O134">
        <v>0</v>
      </c>
      <c r="P134">
        <v>20</v>
      </c>
      <c r="Q134" t="s">
        <v>87</v>
      </c>
      <c r="R134">
        <v>0</v>
      </c>
    </row>
    <row r="135" spans="1:18" x14ac:dyDescent="0.3">
      <c r="A135" t="s">
        <v>203</v>
      </c>
      <c r="B135" s="1">
        <v>45580.818055555559</v>
      </c>
      <c r="C135" t="s">
        <v>18</v>
      </c>
      <c r="D135" t="s">
        <v>46</v>
      </c>
      <c r="E135">
        <v>7155</v>
      </c>
      <c r="F135" t="s">
        <v>20</v>
      </c>
      <c r="G135" t="s">
        <v>22</v>
      </c>
      <c r="H135" t="s">
        <v>59</v>
      </c>
      <c r="I135" t="s">
        <v>229</v>
      </c>
      <c r="J135" t="s">
        <v>82</v>
      </c>
      <c r="K135" t="s">
        <v>33</v>
      </c>
      <c r="L135" t="s">
        <v>50</v>
      </c>
      <c r="M135" t="s">
        <v>26</v>
      </c>
      <c r="N135" t="s">
        <v>27</v>
      </c>
      <c r="O135">
        <v>0</v>
      </c>
      <c r="P135">
        <v>19</v>
      </c>
      <c r="Q135" t="s">
        <v>28</v>
      </c>
      <c r="R135">
        <v>0</v>
      </c>
    </row>
    <row r="136" spans="1:18" x14ac:dyDescent="0.3">
      <c r="A136" t="s">
        <v>204</v>
      </c>
      <c r="B136" s="1">
        <v>45640.808333333334</v>
      </c>
      <c r="C136" t="s">
        <v>71</v>
      </c>
      <c r="D136" t="s">
        <v>46</v>
      </c>
      <c r="E136">
        <v>5879</v>
      </c>
      <c r="F136" t="s">
        <v>20</v>
      </c>
      <c r="G136" t="s">
        <v>22</v>
      </c>
      <c r="H136" t="s">
        <v>22</v>
      </c>
      <c r="I136" t="s">
        <v>229</v>
      </c>
      <c r="J136" t="s">
        <v>55</v>
      </c>
      <c r="K136" t="s">
        <v>25</v>
      </c>
      <c r="L136" t="s">
        <v>40</v>
      </c>
      <c r="M136" t="s">
        <v>26</v>
      </c>
      <c r="N136" t="s">
        <v>43</v>
      </c>
      <c r="O136">
        <v>0</v>
      </c>
      <c r="P136">
        <v>19</v>
      </c>
      <c r="Q136" t="s">
        <v>69</v>
      </c>
      <c r="R136">
        <v>1</v>
      </c>
    </row>
    <row r="137" spans="1:18" x14ac:dyDescent="0.3">
      <c r="A137" t="s">
        <v>205</v>
      </c>
      <c r="B137" s="1">
        <v>45537.862500000003</v>
      </c>
      <c r="C137" t="s">
        <v>18</v>
      </c>
      <c r="D137" t="s">
        <v>19</v>
      </c>
      <c r="E137">
        <v>561</v>
      </c>
      <c r="F137" t="s">
        <v>20</v>
      </c>
      <c r="G137" t="s">
        <v>37</v>
      </c>
      <c r="H137" t="s">
        <v>72</v>
      </c>
      <c r="I137" t="s">
        <v>229</v>
      </c>
      <c r="J137" t="s">
        <v>23</v>
      </c>
      <c r="K137" t="s">
        <v>25</v>
      </c>
      <c r="L137" t="s">
        <v>39</v>
      </c>
      <c r="M137" t="s">
        <v>26</v>
      </c>
      <c r="N137" t="s">
        <v>47</v>
      </c>
      <c r="O137">
        <v>0</v>
      </c>
      <c r="P137">
        <v>20</v>
      </c>
      <c r="Q137" t="s">
        <v>52</v>
      </c>
      <c r="R137">
        <v>0</v>
      </c>
    </row>
    <row r="138" spans="1:18" x14ac:dyDescent="0.3">
      <c r="A138" t="s">
        <v>206</v>
      </c>
      <c r="B138" s="1">
        <v>45628.55972222222</v>
      </c>
      <c r="C138" t="s">
        <v>71</v>
      </c>
      <c r="D138" t="s">
        <v>58</v>
      </c>
      <c r="E138">
        <v>6011</v>
      </c>
      <c r="F138" t="s">
        <v>20</v>
      </c>
      <c r="G138" t="s">
        <v>37</v>
      </c>
      <c r="H138" t="s">
        <v>22</v>
      </c>
      <c r="I138" t="s">
        <v>229</v>
      </c>
      <c r="J138" t="s">
        <v>60</v>
      </c>
      <c r="K138" t="s">
        <v>25</v>
      </c>
      <c r="L138" t="s">
        <v>39</v>
      </c>
      <c r="M138" t="s">
        <v>26</v>
      </c>
      <c r="N138" t="s">
        <v>27</v>
      </c>
      <c r="O138">
        <v>0</v>
      </c>
      <c r="P138">
        <v>13</v>
      </c>
      <c r="Q138" t="s">
        <v>52</v>
      </c>
      <c r="R138">
        <v>0</v>
      </c>
    </row>
    <row r="139" spans="1:18" x14ac:dyDescent="0.3">
      <c r="A139" t="s">
        <v>207</v>
      </c>
      <c r="B139" s="1">
        <v>45519.31527777778</v>
      </c>
      <c r="C139" t="s">
        <v>18</v>
      </c>
      <c r="D139" t="s">
        <v>19</v>
      </c>
      <c r="E139">
        <v>223</v>
      </c>
      <c r="F139" t="s">
        <v>20</v>
      </c>
      <c r="G139" t="s">
        <v>21</v>
      </c>
      <c r="H139" t="s">
        <v>21</v>
      </c>
      <c r="I139" t="s">
        <v>229</v>
      </c>
      <c r="J139" t="s">
        <v>55</v>
      </c>
      <c r="K139" t="s">
        <v>25</v>
      </c>
      <c r="L139" t="s">
        <v>25</v>
      </c>
      <c r="M139" t="s">
        <v>26</v>
      </c>
      <c r="N139" t="s">
        <v>43</v>
      </c>
      <c r="O139">
        <v>0</v>
      </c>
      <c r="P139">
        <v>7</v>
      </c>
      <c r="Q139" t="s">
        <v>35</v>
      </c>
      <c r="R139">
        <v>0</v>
      </c>
    </row>
    <row r="140" spans="1:18" x14ac:dyDescent="0.3">
      <c r="A140" t="s">
        <v>208</v>
      </c>
      <c r="B140" s="1">
        <v>45603.649305555555</v>
      </c>
      <c r="C140" t="s">
        <v>71</v>
      </c>
      <c r="D140" t="s">
        <v>42</v>
      </c>
      <c r="E140">
        <v>4864</v>
      </c>
      <c r="F140" t="s">
        <v>20</v>
      </c>
      <c r="G140" t="s">
        <v>59</v>
      </c>
      <c r="H140" t="s">
        <v>37</v>
      </c>
      <c r="I140" t="s">
        <v>229</v>
      </c>
      <c r="J140" t="s">
        <v>60</v>
      </c>
      <c r="K140" t="s">
        <v>62</v>
      </c>
      <c r="L140" t="s">
        <v>25</v>
      </c>
      <c r="M140" t="s">
        <v>34</v>
      </c>
      <c r="N140" t="s">
        <v>47</v>
      </c>
      <c r="O140">
        <v>0</v>
      </c>
      <c r="P140">
        <v>15</v>
      </c>
      <c r="Q140" t="s">
        <v>35</v>
      </c>
      <c r="R140">
        <v>0</v>
      </c>
    </row>
    <row r="141" spans="1:18" x14ac:dyDescent="0.3">
      <c r="A141" t="s">
        <v>209</v>
      </c>
      <c r="B141" s="1">
        <v>45539.686111111114</v>
      </c>
      <c r="C141" t="s">
        <v>30</v>
      </c>
      <c r="D141" t="s">
        <v>49</v>
      </c>
      <c r="E141">
        <v>2350</v>
      </c>
      <c r="F141" t="s">
        <v>20</v>
      </c>
      <c r="G141" t="s">
        <v>21</v>
      </c>
      <c r="H141" t="s">
        <v>21</v>
      </c>
      <c r="I141" t="s">
        <v>229</v>
      </c>
      <c r="J141" t="s">
        <v>23</v>
      </c>
      <c r="K141" t="s">
        <v>25</v>
      </c>
      <c r="L141" t="s">
        <v>50</v>
      </c>
      <c r="M141" t="s">
        <v>26</v>
      </c>
      <c r="N141" t="s">
        <v>43</v>
      </c>
      <c r="O141">
        <v>0</v>
      </c>
      <c r="P141">
        <v>16</v>
      </c>
      <c r="Q141" t="s">
        <v>73</v>
      </c>
      <c r="R141">
        <v>0</v>
      </c>
    </row>
    <row r="142" spans="1:18" x14ac:dyDescent="0.3">
      <c r="A142" t="s">
        <v>210</v>
      </c>
      <c r="B142" s="1">
        <v>45391.595138888886</v>
      </c>
      <c r="C142" t="s">
        <v>30</v>
      </c>
      <c r="D142" t="s">
        <v>58</v>
      </c>
      <c r="E142">
        <v>284</v>
      </c>
      <c r="F142" t="s">
        <v>20</v>
      </c>
      <c r="G142" t="s">
        <v>21</v>
      </c>
      <c r="H142" t="s">
        <v>21</v>
      </c>
      <c r="I142" t="s">
        <v>229</v>
      </c>
      <c r="J142" t="s">
        <v>55</v>
      </c>
      <c r="K142" t="s">
        <v>25</v>
      </c>
      <c r="L142" t="s">
        <v>62</v>
      </c>
      <c r="M142" t="s">
        <v>26</v>
      </c>
      <c r="N142" t="s">
        <v>27</v>
      </c>
      <c r="O142">
        <v>0</v>
      </c>
      <c r="P142">
        <v>14</v>
      </c>
      <c r="Q142" t="s">
        <v>28</v>
      </c>
      <c r="R142">
        <v>0</v>
      </c>
    </row>
    <row r="143" spans="1:18" x14ac:dyDescent="0.3">
      <c r="A143" t="s">
        <v>211</v>
      </c>
      <c r="B143" s="1">
        <v>45465.963888888888</v>
      </c>
      <c r="C143" t="s">
        <v>18</v>
      </c>
      <c r="D143" t="s">
        <v>46</v>
      </c>
      <c r="E143">
        <v>1174</v>
      </c>
      <c r="F143" t="s">
        <v>20</v>
      </c>
      <c r="G143" t="s">
        <v>37</v>
      </c>
      <c r="H143" t="s">
        <v>59</v>
      </c>
      <c r="I143" t="s">
        <v>229</v>
      </c>
      <c r="J143" t="s">
        <v>105</v>
      </c>
      <c r="K143" t="s">
        <v>50</v>
      </c>
      <c r="L143" t="s">
        <v>56</v>
      </c>
      <c r="M143" t="s">
        <v>26</v>
      </c>
      <c r="N143" t="s">
        <v>27</v>
      </c>
      <c r="O143">
        <v>0</v>
      </c>
      <c r="P143">
        <v>23</v>
      </c>
      <c r="Q143" t="s">
        <v>69</v>
      </c>
      <c r="R143">
        <v>1</v>
      </c>
    </row>
    <row r="144" spans="1:18" x14ac:dyDescent="0.3">
      <c r="A144" t="s">
        <v>212</v>
      </c>
      <c r="B144" s="1">
        <v>45519.818055555559</v>
      </c>
      <c r="C144" t="s">
        <v>18</v>
      </c>
      <c r="D144" t="s">
        <v>46</v>
      </c>
      <c r="E144">
        <v>1773</v>
      </c>
      <c r="F144" t="s">
        <v>20</v>
      </c>
      <c r="G144" t="s">
        <v>59</v>
      </c>
      <c r="H144" t="s">
        <v>37</v>
      </c>
      <c r="I144" t="s">
        <v>229</v>
      </c>
      <c r="J144" t="s">
        <v>60</v>
      </c>
      <c r="K144" t="s">
        <v>50</v>
      </c>
      <c r="L144" t="s">
        <v>33</v>
      </c>
      <c r="M144" t="s">
        <v>26</v>
      </c>
      <c r="N144" t="s">
        <v>27</v>
      </c>
      <c r="O144">
        <v>0</v>
      </c>
      <c r="P144">
        <v>19</v>
      </c>
      <c r="Q144" t="s">
        <v>35</v>
      </c>
      <c r="R144">
        <v>0</v>
      </c>
    </row>
    <row r="145" spans="1:18" x14ac:dyDescent="0.3">
      <c r="A145" t="s">
        <v>213</v>
      </c>
      <c r="B145" s="1">
        <v>45298.413194444445</v>
      </c>
      <c r="C145" t="s">
        <v>18</v>
      </c>
      <c r="D145" t="s">
        <v>31</v>
      </c>
      <c r="E145">
        <v>2839</v>
      </c>
      <c r="F145" t="s">
        <v>20</v>
      </c>
      <c r="G145" t="s">
        <v>21</v>
      </c>
      <c r="H145" t="s">
        <v>21</v>
      </c>
      <c r="I145" t="s">
        <v>229</v>
      </c>
      <c r="J145" t="s">
        <v>32</v>
      </c>
      <c r="K145" t="s">
        <v>56</v>
      </c>
      <c r="L145" t="s">
        <v>25</v>
      </c>
      <c r="M145" t="s">
        <v>34</v>
      </c>
      <c r="N145" t="s">
        <v>27</v>
      </c>
      <c r="O145">
        <v>0</v>
      </c>
      <c r="P145">
        <v>9</v>
      </c>
      <c r="Q145" t="s">
        <v>44</v>
      </c>
      <c r="R145">
        <v>1</v>
      </c>
    </row>
    <row r="146" spans="1:18" x14ac:dyDescent="0.3">
      <c r="A146" t="s">
        <v>214</v>
      </c>
      <c r="B146" s="1">
        <v>45456.374305555553</v>
      </c>
      <c r="C146" t="s">
        <v>18</v>
      </c>
      <c r="D146" t="s">
        <v>46</v>
      </c>
      <c r="E146">
        <v>3757</v>
      </c>
      <c r="F146" t="s">
        <v>20</v>
      </c>
      <c r="G146" t="s">
        <v>59</v>
      </c>
      <c r="H146" t="s">
        <v>21</v>
      </c>
      <c r="I146" t="s">
        <v>229</v>
      </c>
      <c r="J146" t="s">
        <v>32</v>
      </c>
      <c r="K146" t="s">
        <v>25</v>
      </c>
      <c r="L146" t="s">
        <v>25</v>
      </c>
      <c r="M146" t="s">
        <v>26</v>
      </c>
      <c r="N146" t="s">
        <v>27</v>
      </c>
      <c r="O146">
        <v>0</v>
      </c>
      <c r="P146">
        <v>8</v>
      </c>
      <c r="Q146" t="s">
        <v>35</v>
      </c>
      <c r="R146">
        <v>0</v>
      </c>
    </row>
    <row r="147" spans="1:18" x14ac:dyDescent="0.3">
      <c r="A147" t="s">
        <v>215</v>
      </c>
      <c r="B147" s="1">
        <v>45579.531944444447</v>
      </c>
      <c r="C147" t="s">
        <v>18</v>
      </c>
      <c r="D147" t="s">
        <v>31</v>
      </c>
      <c r="E147">
        <v>599</v>
      </c>
      <c r="F147" t="s">
        <v>20</v>
      </c>
      <c r="G147" t="s">
        <v>59</v>
      </c>
      <c r="H147" t="s">
        <v>21</v>
      </c>
      <c r="I147" t="s">
        <v>229</v>
      </c>
      <c r="J147" t="s">
        <v>32</v>
      </c>
      <c r="K147" t="s">
        <v>33</v>
      </c>
      <c r="L147" t="s">
        <v>33</v>
      </c>
      <c r="M147" t="s">
        <v>26</v>
      </c>
      <c r="N147" t="s">
        <v>27</v>
      </c>
      <c r="O147">
        <v>0</v>
      </c>
      <c r="P147">
        <v>12</v>
      </c>
      <c r="Q147" t="s">
        <v>52</v>
      </c>
      <c r="R147">
        <v>0</v>
      </c>
    </row>
    <row r="148" spans="1:18" x14ac:dyDescent="0.3">
      <c r="A148" t="s">
        <v>216</v>
      </c>
      <c r="B148" s="1">
        <v>45340.675000000003</v>
      </c>
      <c r="C148" t="s">
        <v>18</v>
      </c>
      <c r="D148" t="s">
        <v>79</v>
      </c>
      <c r="E148">
        <v>720</v>
      </c>
      <c r="F148" t="s">
        <v>20</v>
      </c>
      <c r="G148" t="s">
        <v>21</v>
      </c>
      <c r="H148" t="s">
        <v>22</v>
      </c>
      <c r="I148" t="s">
        <v>229</v>
      </c>
      <c r="J148" t="s">
        <v>66</v>
      </c>
      <c r="K148" t="s">
        <v>40</v>
      </c>
      <c r="L148" t="s">
        <v>33</v>
      </c>
      <c r="M148" t="s">
        <v>34</v>
      </c>
      <c r="N148" t="s">
        <v>27</v>
      </c>
      <c r="O148">
        <v>0</v>
      </c>
      <c r="P148">
        <v>16</v>
      </c>
      <c r="Q148" t="s">
        <v>44</v>
      </c>
      <c r="R148">
        <v>1</v>
      </c>
    </row>
    <row r="149" spans="1:18" x14ac:dyDescent="0.3">
      <c r="A149" t="s">
        <v>217</v>
      </c>
      <c r="B149" s="1">
        <v>45417.526388888888</v>
      </c>
      <c r="C149" t="s">
        <v>30</v>
      </c>
      <c r="D149" t="s">
        <v>49</v>
      </c>
      <c r="E149">
        <v>646</v>
      </c>
      <c r="F149" t="s">
        <v>20</v>
      </c>
      <c r="G149" t="s">
        <v>21</v>
      </c>
      <c r="H149" t="s">
        <v>37</v>
      </c>
      <c r="I149" t="s">
        <v>229</v>
      </c>
      <c r="J149" t="s">
        <v>76</v>
      </c>
      <c r="K149" t="s">
        <v>50</v>
      </c>
      <c r="L149" t="s">
        <v>25</v>
      </c>
      <c r="M149" t="s">
        <v>26</v>
      </c>
      <c r="N149" t="s">
        <v>43</v>
      </c>
      <c r="O149">
        <v>0</v>
      </c>
      <c r="P149">
        <v>12</v>
      </c>
      <c r="Q149" t="s">
        <v>44</v>
      </c>
      <c r="R149">
        <v>1</v>
      </c>
    </row>
    <row r="150" spans="1:18" x14ac:dyDescent="0.3">
      <c r="A150" t="s">
        <v>218</v>
      </c>
      <c r="B150" s="1">
        <v>45449.82708333333</v>
      </c>
      <c r="C150" t="s">
        <v>30</v>
      </c>
      <c r="D150" t="s">
        <v>49</v>
      </c>
      <c r="E150">
        <v>211</v>
      </c>
      <c r="F150" t="s">
        <v>20</v>
      </c>
      <c r="G150" t="s">
        <v>21</v>
      </c>
      <c r="H150" t="s">
        <v>22</v>
      </c>
      <c r="I150" t="s">
        <v>229</v>
      </c>
      <c r="J150" t="s">
        <v>23</v>
      </c>
      <c r="K150" t="s">
        <v>25</v>
      </c>
      <c r="L150" t="s">
        <v>25</v>
      </c>
      <c r="M150" t="s">
        <v>34</v>
      </c>
      <c r="N150" t="s">
        <v>27</v>
      </c>
      <c r="O150">
        <v>0</v>
      </c>
      <c r="P150">
        <v>19</v>
      </c>
      <c r="Q150" t="s">
        <v>35</v>
      </c>
      <c r="R150">
        <v>0</v>
      </c>
    </row>
    <row r="162" spans="10:12" x14ac:dyDescent="0.3">
      <c r="J162" s="5"/>
      <c r="K162" s="6"/>
      <c r="L162" s="7"/>
    </row>
    <row r="163" spans="10:12" x14ac:dyDescent="0.3">
      <c r="J163" s="8"/>
      <c r="K163" s="9"/>
      <c r="L163" s="10"/>
    </row>
    <row r="164" spans="10:12" x14ac:dyDescent="0.3">
      <c r="J164" s="8"/>
      <c r="K164" s="9"/>
      <c r="L164" s="10"/>
    </row>
    <row r="165" spans="10:12" x14ac:dyDescent="0.3">
      <c r="J165" s="8"/>
      <c r="K165" s="9"/>
      <c r="L165" s="10"/>
    </row>
    <row r="166" spans="10:12" x14ac:dyDescent="0.3">
      <c r="J166" s="8"/>
      <c r="K166" s="9"/>
      <c r="L166" s="10"/>
    </row>
    <row r="167" spans="10:12" x14ac:dyDescent="0.3">
      <c r="J167" s="8"/>
      <c r="K167" s="9"/>
      <c r="L167" s="10"/>
    </row>
    <row r="168" spans="10:12" x14ac:dyDescent="0.3">
      <c r="J168" s="8"/>
      <c r="K168" s="9"/>
      <c r="L168" s="10"/>
    </row>
    <row r="169" spans="10:12" x14ac:dyDescent="0.3">
      <c r="J169" s="8"/>
      <c r="K169" s="9"/>
      <c r="L169" s="10"/>
    </row>
    <row r="170" spans="10:12" x14ac:dyDescent="0.3">
      <c r="J170" s="8"/>
      <c r="K170" s="9"/>
      <c r="L170" s="10"/>
    </row>
    <row r="171" spans="10:12" x14ac:dyDescent="0.3">
      <c r="J171" s="8"/>
      <c r="K171" s="9"/>
      <c r="L171" s="10"/>
    </row>
    <row r="172" spans="10:12" x14ac:dyDescent="0.3">
      <c r="J172" s="8"/>
      <c r="K172" s="9"/>
      <c r="L172" s="10"/>
    </row>
    <row r="173" spans="10:12" x14ac:dyDescent="0.3">
      <c r="J173" s="8"/>
      <c r="K173" s="9"/>
      <c r="L173" s="10"/>
    </row>
    <row r="174" spans="10:12" x14ac:dyDescent="0.3">
      <c r="J174" s="8"/>
      <c r="K174" s="9"/>
      <c r="L174" s="10"/>
    </row>
    <row r="175" spans="10:12" x14ac:dyDescent="0.3">
      <c r="J175" s="8"/>
      <c r="K175" s="9"/>
      <c r="L175" s="10"/>
    </row>
    <row r="176" spans="10:12" x14ac:dyDescent="0.3">
      <c r="J176" s="8"/>
      <c r="K176" s="9"/>
      <c r="L176" s="10"/>
    </row>
    <row r="177" spans="10:12" x14ac:dyDescent="0.3">
      <c r="J177" s="8"/>
      <c r="K177" s="9"/>
      <c r="L177" s="10"/>
    </row>
    <row r="178" spans="10:12" x14ac:dyDescent="0.3">
      <c r="J178" s="8"/>
      <c r="K178" s="9"/>
      <c r="L178" s="10"/>
    </row>
    <row r="179" spans="10:12" x14ac:dyDescent="0.3">
      <c r="J179" s="11"/>
      <c r="K179" s="12"/>
      <c r="L179"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DC23-BCF1-433E-AAA8-945E0F6B9977}">
  <dimension ref="A1:AF1"/>
  <sheetViews>
    <sheetView showGridLines="0" zoomScale="96" workbookViewId="0">
      <selection activeCell="X5" sqref="X5"/>
    </sheetView>
  </sheetViews>
  <sheetFormatPr defaultRowHeight="14.4" x14ac:dyDescent="0.3"/>
  <sheetData>
    <row r="1" spans="1:32" ht="17.399999999999999" x14ac:dyDescent="0.3">
      <c r="A1" s="15" t="s">
        <v>222</v>
      </c>
      <c r="B1" s="15"/>
      <c r="C1" s="15"/>
      <c r="D1" s="15"/>
      <c r="E1" s="15"/>
      <c r="F1" s="15"/>
      <c r="G1" s="15"/>
      <c r="H1" s="15"/>
      <c r="I1" s="15"/>
      <c r="J1" s="15"/>
      <c r="K1" s="15"/>
      <c r="L1" s="15"/>
      <c r="M1" s="15"/>
      <c r="N1" s="15"/>
      <c r="O1" s="15"/>
      <c r="P1" s="15"/>
      <c r="Q1" s="15" t="s">
        <v>225</v>
      </c>
      <c r="R1" s="15"/>
      <c r="S1" s="15"/>
      <c r="T1" s="15"/>
      <c r="U1" s="15"/>
      <c r="V1" s="15"/>
      <c r="W1" s="15"/>
      <c r="X1" s="15"/>
      <c r="Y1" s="15"/>
      <c r="Z1" s="15"/>
      <c r="AA1" s="15"/>
      <c r="AB1" s="15"/>
      <c r="AC1" s="15"/>
      <c r="AD1" s="15"/>
      <c r="AE1" s="15"/>
      <c r="AF1" s="15"/>
    </row>
  </sheetData>
  <mergeCells count="2">
    <mergeCell ref="A1:P1"/>
    <mergeCell ref="Q1:AF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trans type </vt:lpstr>
      <vt:lpstr>merchant analysis </vt:lpstr>
      <vt:lpstr>time analysis </vt:lpstr>
      <vt:lpstr>weekday vs weekend </vt:lpstr>
      <vt:lpstr>bank</vt:lpstr>
      <vt:lpstr>map</vt:lpstr>
      <vt:lpstr>data</vt:lpstr>
      <vt:lpstr>analysis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Alamelu K</dc:creator>
  <cp:lastModifiedBy>Alamelu K</cp:lastModifiedBy>
  <dcterms:created xsi:type="dcterms:W3CDTF">2025-12-14T07:08:03Z</dcterms:created>
  <dcterms:modified xsi:type="dcterms:W3CDTF">2025-12-17T10:10:29Z</dcterms:modified>
</cp:coreProperties>
</file>